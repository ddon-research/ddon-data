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rph\Downloads\"/>
    </mc:Choice>
  </mc:AlternateContent>
  <xr:revisionPtr revIDLastSave="0" documentId="8_{466E4A0C-9CFF-49D0-973F-0BCE1E0020A2}" xr6:coauthVersionLast="47" xr6:coauthVersionMax="47" xr10:uidLastSave="{00000000-0000-0000-0000-000000000000}"/>
  <bookViews>
    <workbookView xWindow="-95" yWindow="0" windowWidth="34967" windowHeight="18937" tabRatio="500" activeTab="4" xr2:uid="{2B53DC82-E7D2-4F43-8730-919B1815E183}"/>
  </bookViews>
  <sheets>
    <sheet name="Sheet1" sheetId="1" r:id="rId1"/>
    <sheet name="Saurians" sheetId="2" r:id="rId2"/>
    <sheet name="Bosses" sheetId="3" r:id="rId3"/>
    <sheet name="Fliers" sheetId="4" r:id="rId4"/>
    <sheet name="Humans" sheetId="5" r:id="rId5"/>
    <sheet name="Skeletons" sheetId="6" r:id="rId6"/>
    <sheet name="Undead" sheetId="7" r:id="rId7"/>
    <sheet name="Goblins" sheetId="8" r:id="rId8"/>
    <sheet name="Apes" sheetId="9" r:id="rId9"/>
    <sheet name="Orcs" sheetId="10" r:id="rId10"/>
    <sheet name="Alchemonsters" sheetId="11" r:id="rId11"/>
    <sheet name="Season 2" sheetId="12" r:id="rId12"/>
    <sheet name="9 Calamities" sheetId="13" r:id="rId13"/>
    <sheet name="12 Calamitie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Y2" i="12"/>
  <c r="Z2" i="12"/>
  <c r="AA2" i="12"/>
  <c r="AB2" i="12"/>
  <c r="AC2" i="12"/>
  <c r="AD2" i="12"/>
  <c r="AE2" i="12"/>
  <c r="AF2" i="12"/>
  <c r="AG2" i="12"/>
  <c r="AH2" i="12"/>
  <c r="AI2" i="12"/>
  <c r="AJ2" i="12"/>
  <c r="AK2" i="12"/>
  <c r="AL2" i="12"/>
  <c r="AM2" i="12"/>
  <c r="AN2" i="12"/>
  <c r="AO2" i="12"/>
  <c r="AP2" i="12"/>
  <c r="AQ2" i="12"/>
  <c r="AR2" i="12"/>
  <c r="AS2" i="12"/>
  <c r="AT2" i="12"/>
  <c r="AU2" i="12"/>
  <c r="AV2" i="12"/>
  <c r="AW2" i="12"/>
  <c r="AX2" i="12"/>
  <c r="AY2" i="12"/>
  <c r="AZ2" i="12"/>
  <c r="BA2" i="12"/>
  <c r="BB2" i="12"/>
  <c r="BC2" i="12"/>
  <c r="BD2" i="12"/>
  <c r="BE2" i="12"/>
  <c r="BF2" i="12"/>
  <c r="BG2" i="12"/>
  <c r="BH2" i="12"/>
  <c r="BI2" i="12"/>
  <c r="BJ2" i="12"/>
  <c r="BK2" i="12"/>
  <c r="BL2" i="12"/>
  <c r="BM2" i="12"/>
  <c r="BN2" i="12"/>
  <c r="BO2" i="12"/>
  <c r="BP2" i="12"/>
  <c r="BQ2" i="12"/>
  <c r="BR2" i="12"/>
  <c r="BS2" i="12"/>
  <c r="BT2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Y4" i="12"/>
  <c r="Z4" i="12"/>
  <c r="AA4" i="12"/>
  <c r="AB4" i="12"/>
  <c r="AC4" i="12"/>
  <c r="AD4" i="12"/>
  <c r="AE4" i="12"/>
  <c r="AF4" i="12"/>
  <c r="AG4" i="12"/>
  <c r="AH4" i="12"/>
  <c r="AI4" i="12"/>
  <c r="AJ4" i="12"/>
  <c r="AK4" i="12"/>
  <c r="AL4" i="12"/>
  <c r="AM4" i="12"/>
  <c r="AN4" i="12"/>
  <c r="AO4" i="12"/>
  <c r="AP4" i="12"/>
  <c r="AQ4" i="12"/>
  <c r="AR4" i="12"/>
  <c r="AS4" i="12"/>
  <c r="AT4" i="12"/>
  <c r="AU4" i="12"/>
  <c r="AV4" i="12"/>
  <c r="AW4" i="12"/>
  <c r="AX4" i="12"/>
  <c r="AY4" i="12"/>
  <c r="AZ4" i="12"/>
  <c r="BA4" i="12"/>
  <c r="BB4" i="12"/>
  <c r="BC4" i="12"/>
  <c r="BD4" i="12"/>
  <c r="BE4" i="12"/>
  <c r="BF4" i="12"/>
  <c r="BG4" i="12"/>
  <c r="BH4" i="12"/>
  <c r="BI4" i="12"/>
  <c r="BJ4" i="12"/>
  <c r="BK4" i="12"/>
  <c r="BL4" i="12"/>
  <c r="BM4" i="12"/>
  <c r="BN4" i="12"/>
  <c r="BO4" i="12"/>
  <c r="BP4" i="12"/>
  <c r="BQ4" i="12"/>
  <c r="BR4" i="12"/>
  <c r="BS4" i="12"/>
  <c r="BT4" i="12"/>
  <c r="C13" i="12"/>
  <c r="D13" i="12"/>
  <c r="E13" i="12"/>
  <c r="F13" i="12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AJ13" i="12"/>
  <c r="AK13" i="12"/>
  <c r="AL13" i="12"/>
  <c r="AM13" i="12"/>
  <c r="AN13" i="12"/>
  <c r="AO13" i="12"/>
  <c r="AP13" i="12"/>
  <c r="AQ13" i="12"/>
  <c r="AR13" i="12"/>
  <c r="AS13" i="12"/>
  <c r="AT13" i="12"/>
  <c r="AU13" i="12"/>
  <c r="AV13" i="12"/>
  <c r="AW13" i="12"/>
  <c r="AX13" i="12"/>
  <c r="AY13" i="12"/>
  <c r="AZ13" i="12"/>
  <c r="BA13" i="12"/>
  <c r="BB13" i="12"/>
  <c r="BC13" i="12"/>
  <c r="BD13" i="12"/>
  <c r="BE13" i="12"/>
  <c r="BF13" i="12"/>
  <c r="BG13" i="12"/>
  <c r="BH13" i="12"/>
  <c r="BI13" i="12"/>
  <c r="BJ13" i="12"/>
  <c r="BK13" i="12"/>
  <c r="BL13" i="12"/>
  <c r="BM13" i="12"/>
  <c r="BN13" i="12"/>
  <c r="BO13" i="12"/>
  <c r="BP13" i="12"/>
  <c r="BQ13" i="12"/>
  <c r="BR13" i="12"/>
  <c r="BS13" i="12"/>
  <c r="BT13" i="12"/>
  <c r="C98" i="12"/>
  <c r="D98" i="12"/>
  <c r="E98" i="12"/>
  <c r="F98" i="12"/>
  <c r="G98" i="12"/>
  <c r="H98" i="12"/>
  <c r="I98" i="12"/>
  <c r="J98" i="12"/>
  <c r="K98" i="12"/>
  <c r="L98" i="12"/>
  <c r="M98" i="12"/>
  <c r="N98" i="12"/>
  <c r="O98" i="12"/>
  <c r="P98" i="12"/>
  <c r="Q98" i="12"/>
  <c r="R98" i="12"/>
  <c r="S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J98" i="12"/>
  <c r="AK98" i="12"/>
  <c r="AL98" i="12"/>
  <c r="AM98" i="12"/>
  <c r="AN98" i="12"/>
  <c r="AO98" i="12"/>
  <c r="AP98" i="12"/>
  <c r="AQ98" i="12"/>
  <c r="AR98" i="12"/>
  <c r="AS98" i="12"/>
  <c r="AT98" i="12"/>
  <c r="AU98" i="12"/>
  <c r="AV98" i="12"/>
  <c r="AW98" i="12"/>
  <c r="AX98" i="12"/>
  <c r="AY98" i="12"/>
  <c r="AZ98" i="12"/>
  <c r="BA98" i="12"/>
  <c r="BB98" i="12"/>
  <c r="BC98" i="12"/>
  <c r="BD98" i="12"/>
  <c r="BE98" i="12"/>
  <c r="BF98" i="12"/>
  <c r="BG98" i="12"/>
  <c r="BH98" i="12"/>
  <c r="BI98" i="12"/>
  <c r="BJ98" i="12"/>
  <c r="BK98" i="12"/>
  <c r="BL98" i="12"/>
  <c r="BM98" i="12"/>
  <c r="BN98" i="12"/>
  <c r="BO98" i="12"/>
  <c r="BP98" i="12"/>
  <c r="BQ98" i="12"/>
  <c r="BR98" i="12"/>
  <c r="BS98" i="12"/>
  <c r="BT98" i="12"/>
  <c r="D106" i="12"/>
  <c r="E106" i="12"/>
  <c r="F106" i="12"/>
  <c r="G106" i="12"/>
  <c r="H106" i="12"/>
  <c r="I106" i="12"/>
  <c r="J106" i="12"/>
  <c r="K106" i="12"/>
  <c r="L106" i="12"/>
  <c r="C107" i="12"/>
  <c r="D107" i="12"/>
  <c r="E107" i="12"/>
  <c r="F107" i="12"/>
  <c r="G107" i="12"/>
  <c r="H107" i="12"/>
  <c r="I107" i="12"/>
  <c r="J107" i="12"/>
  <c r="K107" i="12"/>
  <c r="L107" i="12"/>
  <c r="M107" i="12"/>
  <c r="N107" i="12"/>
  <c r="O107" i="12"/>
  <c r="P107" i="12"/>
  <c r="Q107" i="12"/>
  <c r="R107" i="12"/>
  <c r="S107" i="12"/>
  <c r="T107" i="12"/>
  <c r="U107" i="12"/>
  <c r="V107" i="12"/>
  <c r="W107" i="12"/>
  <c r="X107" i="12"/>
  <c r="Y107" i="12"/>
  <c r="Z107" i="12"/>
  <c r="AA107" i="12"/>
  <c r="AB107" i="12"/>
  <c r="AC107" i="12"/>
  <c r="AD107" i="12"/>
  <c r="AE107" i="12"/>
  <c r="AF107" i="12"/>
  <c r="AG107" i="12"/>
  <c r="AH107" i="12"/>
  <c r="AI107" i="12"/>
  <c r="AJ107" i="12"/>
  <c r="AK107" i="12"/>
  <c r="AL107" i="12"/>
  <c r="AM107" i="12"/>
  <c r="AN107" i="12"/>
  <c r="AO107" i="12"/>
  <c r="AP107" i="12"/>
  <c r="AQ107" i="12"/>
  <c r="AR107" i="12"/>
  <c r="AS107" i="12"/>
  <c r="AT107" i="12"/>
  <c r="AU107" i="12"/>
  <c r="AV107" i="12"/>
  <c r="AW107" i="12"/>
  <c r="AX107" i="12"/>
  <c r="AY107" i="12"/>
  <c r="AZ107" i="12"/>
  <c r="BA107" i="12"/>
  <c r="BB107" i="12"/>
  <c r="BC107" i="12"/>
  <c r="BD107" i="12"/>
  <c r="BE107" i="12"/>
  <c r="BF107" i="12"/>
  <c r="C108" i="12"/>
  <c r="D108" i="12"/>
  <c r="E108" i="12"/>
  <c r="F108" i="12"/>
  <c r="G108" i="12"/>
  <c r="H108" i="12"/>
  <c r="I108" i="12"/>
  <c r="J108" i="12"/>
  <c r="K108" i="12"/>
  <c r="L108" i="12"/>
  <c r="M108" i="12"/>
  <c r="N108" i="12"/>
  <c r="O108" i="12"/>
  <c r="P108" i="12"/>
  <c r="Q108" i="12"/>
  <c r="R108" i="12"/>
  <c r="S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AJ108" i="12"/>
  <c r="AK108" i="12"/>
  <c r="AL108" i="12"/>
  <c r="AM108" i="12"/>
  <c r="AN108" i="12"/>
  <c r="AO108" i="12"/>
  <c r="AP108" i="12"/>
  <c r="AQ108" i="12"/>
  <c r="AR108" i="12"/>
  <c r="AS108" i="12"/>
  <c r="AT108" i="12"/>
  <c r="AU108" i="12"/>
  <c r="AV108" i="12"/>
  <c r="AW108" i="12"/>
  <c r="AX108" i="12"/>
  <c r="AY108" i="12"/>
  <c r="AZ108" i="12"/>
  <c r="BA108" i="12"/>
  <c r="BB108" i="12"/>
  <c r="BC108" i="12"/>
  <c r="BD108" i="12"/>
  <c r="BE108" i="12"/>
  <c r="BF108" i="12"/>
  <c r="BG108" i="12"/>
  <c r="BH108" i="12"/>
  <c r="BI108" i="12"/>
  <c r="BJ108" i="12"/>
  <c r="BK108" i="12"/>
  <c r="BL108" i="12"/>
  <c r="BM108" i="12"/>
  <c r="BN108" i="12"/>
  <c r="BO108" i="12"/>
  <c r="BP108" i="12"/>
  <c r="BQ108" i="12"/>
  <c r="BR108" i="12"/>
  <c r="BS108" i="12"/>
  <c r="BT108" i="12"/>
  <c r="C118" i="12"/>
  <c r="D118" i="12"/>
  <c r="E118" i="12"/>
  <c r="F118" i="12"/>
  <c r="G118" i="12"/>
  <c r="H118" i="12"/>
  <c r="I118" i="12"/>
  <c r="J118" i="12"/>
  <c r="K118" i="12"/>
  <c r="L118" i="12"/>
  <c r="M118" i="12"/>
  <c r="N118" i="12"/>
  <c r="O118" i="12"/>
  <c r="P118" i="12"/>
  <c r="Q118" i="12"/>
  <c r="R118" i="12"/>
  <c r="S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AJ118" i="12"/>
  <c r="AK118" i="12"/>
  <c r="AL118" i="12"/>
  <c r="AM118" i="12"/>
  <c r="AN118" i="12"/>
  <c r="AO118" i="12"/>
  <c r="AP118" i="12"/>
  <c r="AQ118" i="12"/>
  <c r="AR118" i="12"/>
  <c r="AS118" i="12"/>
  <c r="AT118" i="12"/>
  <c r="AU118" i="12"/>
  <c r="AV118" i="12"/>
  <c r="AW118" i="12"/>
  <c r="AX118" i="12"/>
  <c r="AY118" i="12"/>
  <c r="AZ118" i="12"/>
  <c r="BA118" i="12"/>
  <c r="BB118" i="12"/>
  <c r="BC118" i="12"/>
  <c r="BD118" i="12"/>
  <c r="BE118" i="12"/>
  <c r="BF118" i="12"/>
  <c r="BG118" i="12"/>
  <c r="BH118" i="12"/>
  <c r="BI118" i="12"/>
  <c r="BJ118" i="12"/>
  <c r="BK118" i="12"/>
  <c r="BL118" i="12"/>
  <c r="BM118" i="12"/>
  <c r="BN118" i="12"/>
  <c r="BO118" i="12"/>
  <c r="BP118" i="12"/>
  <c r="BQ118" i="12"/>
  <c r="BR118" i="12"/>
  <c r="BS118" i="12"/>
  <c r="BT118" i="12"/>
  <c r="C131" i="12"/>
  <c r="D131" i="12"/>
  <c r="E131" i="12"/>
  <c r="F131" i="12"/>
  <c r="G131" i="12"/>
  <c r="H131" i="12"/>
  <c r="I131" i="12"/>
  <c r="J131" i="12"/>
  <c r="K131" i="12"/>
  <c r="L131" i="12"/>
  <c r="M131" i="12"/>
  <c r="N131" i="12"/>
  <c r="O131" i="12"/>
  <c r="P131" i="12"/>
  <c r="Q131" i="12"/>
  <c r="R131" i="12"/>
  <c r="S131" i="12"/>
  <c r="T131" i="12"/>
  <c r="U131" i="12"/>
  <c r="V131" i="12"/>
  <c r="W131" i="12"/>
  <c r="X131" i="12"/>
  <c r="Y131" i="12"/>
  <c r="Z131" i="12"/>
  <c r="AA131" i="12"/>
  <c r="AB131" i="12"/>
  <c r="AC131" i="12"/>
  <c r="AD131" i="12"/>
  <c r="AE131" i="12"/>
  <c r="AF131" i="12"/>
  <c r="AG131" i="12"/>
  <c r="AH131" i="12"/>
  <c r="AI131" i="12"/>
  <c r="AJ131" i="12"/>
  <c r="AK131" i="12"/>
  <c r="AL131" i="12"/>
  <c r="AM131" i="12"/>
  <c r="AN131" i="12"/>
  <c r="AO131" i="12"/>
  <c r="AP131" i="12"/>
  <c r="AQ131" i="12"/>
  <c r="AR131" i="12"/>
  <c r="AS131" i="12"/>
  <c r="AT131" i="12"/>
  <c r="AU131" i="12"/>
  <c r="AV131" i="12"/>
  <c r="AW131" i="12"/>
  <c r="AX131" i="12"/>
  <c r="AY131" i="12"/>
  <c r="AZ131" i="12"/>
  <c r="BA131" i="12"/>
  <c r="BB131" i="12"/>
  <c r="BC131" i="12"/>
  <c r="BD131" i="12"/>
  <c r="BE131" i="12"/>
  <c r="BF131" i="12"/>
  <c r="BG131" i="12"/>
  <c r="BH131" i="12"/>
  <c r="BI131" i="12"/>
  <c r="BJ131" i="12"/>
  <c r="BK131" i="12"/>
  <c r="BL131" i="12"/>
  <c r="BM131" i="12"/>
  <c r="BN131" i="12"/>
  <c r="BO131" i="12"/>
  <c r="BP131" i="12"/>
  <c r="BQ131" i="12"/>
  <c r="BR131" i="12"/>
  <c r="BS131" i="12"/>
  <c r="BT131" i="12"/>
  <c r="AR4" i="11"/>
  <c r="AS4" i="11"/>
  <c r="AT4" i="11"/>
  <c r="AU4" i="11"/>
  <c r="AV4" i="11"/>
  <c r="AW4" i="11"/>
  <c r="AX4" i="11"/>
  <c r="AY4" i="11"/>
  <c r="AZ4" i="11"/>
  <c r="BA4" i="11"/>
  <c r="BB4" i="11"/>
  <c r="BC4" i="11"/>
  <c r="BD4" i="11"/>
  <c r="BE4" i="11"/>
  <c r="BF4" i="11"/>
  <c r="BG4" i="11"/>
  <c r="C2" i="10"/>
  <c r="D2" i="10"/>
  <c r="E2" i="10"/>
  <c r="F2" i="10"/>
  <c r="G2" i="10"/>
  <c r="H2" i="10"/>
  <c r="I2" i="10"/>
  <c r="J2" i="10"/>
  <c r="K2" i="10"/>
  <c r="L2" i="10"/>
  <c r="M2" i="10"/>
  <c r="N2" i="10"/>
  <c r="O2" i="10"/>
  <c r="P2" i="10"/>
  <c r="Q2" i="10"/>
  <c r="R2" i="10"/>
  <c r="S2" i="10"/>
  <c r="T2" i="10"/>
  <c r="U2" i="10"/>
  <c r="V2" i="10"/>
  <c r="W2" i="10"/>
  <c r="X2" i="10"/>
  <c r="Y2" i="10"/>
  <c r="Z2" i="10"/>
  <c r="AA2" i="10"/>
  <c r="AB2" i="10"/>
  <c r="AC2" i="10"/>
  <c r="AD2" i="10"/>
  <c r="AE2" i="10"/>
  <c r="AF2" i="10"/>
  <c r="AG2" i="10"/>
  <c r="AH2" i="10"/>
  <c r="AI2" i="10"/>
  <c r="AJ2" i="10"/>
  <c r="AK2" i="10"/>
  <c r="AL2" i="10"/>
  <c r="AM2" i="10"/>
  <c r="AN2" i="10"/>
  <c r="AO2" i="10"/>
  <c r="AQ2" i="10"/>
  <c r="AR2" i="10"/>
  <c r="AS2" i="10"/>
  <c r="AU2" i="10"/>
  <c r="AV2" i="10"/>
  <c r="AW2" i="10"/>
  <c r="AX2" i="10"/>
  <c r="AY2" i="10"/>
  <c r="AZ2" i="10"/>
  <c r="BA2" i="10"/>
  <c r="BB2" i="10"/>
  <c r="BC2" i="10"/>
  <c r="BD2" i="10"/>
  <c r="BF2" i="10"/>
  <c r="BG2" i="10"/>
  <c r="BH2" i="10"/>
  <c r="BI2" i="10"/>
  <c r="BJ2" i="10"/>
  <c r="BK2" i="10"/>
  <c r="BL2" i="10"/>
  <c r="BM2" i="10"/>
  <c r="BN2" i="10"/>
  <c r="BO2" i="10"/>
  <c r="BP2" i="10"/>
  <c r="BQ2" i="10"/>
  <c r="BR2" i="10"/>
  <c r="BS2" i="10"/>
  <c r="BT2" i="10"/>
  <c r="C4" i="10"/>
  <c r="D4" i="10"/>
  <c r="E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S4" i="10"/>
  <c r="T4" i="10"/>
  <c r="U4" i="10"/>
  <c r="V4" i="10"/>
  <c r="W4" i="10"/>
  <c r="X4" i="10"/>
  <c r="Y4" i="10"/>
  <c r="Z4" i="10"/>
  <c r="AA4" i="10"/>
  <c r="AB4" i="10"/>
  <c r="AC4" i="10"/>
  <c r="AD4" i="10"/>
  <c r="AE4" i="10"/>
  <c r="AF4" i="10"/>
  <c r="AG4" i="10"/>
  <c r="AH4" i="10"/>
  <c r="AI4" i="10"/>
  <c r="AJ4" i="10"/>
  <c r="AK4" i="10"/>
  <c r="AL4" i="10"/>
  <c r="AM4" i="10"/>
  <c r="AN4" i="10"/>
  <c r="AO4" i="10"/>
  <c r="AP4" i="10"/>
  <c r="AQ4" i="10"/>
  <c r="AR4" i="10"/>
  <c r="AS4" i="10"/>
  <c r="AT4" i="10"/>
  <c r="AU4" i="10"/>
  <c r="AV4" i="10"/>
  <c r="AW4" i="10"/>
  <c r="AX4" i="10"/>
  <c r="AY4" i="10"/>
  <c r="AZ4" i="10"/>
  <c r="BA4" i="10"/>
  <c r="BB4" i="10"/>
  <c r="BC4" i="10"/>
  <c r="BD4" i="10"/>
  <c r="BE4" i="10"/>
  <c r="BF4" i="10"/>
  <c r="BG4" i="10"/>
  <c r="BH4" i="10"/>
  <c r="BI4" i="10"/>
  <c r="BJ4" i="10"/>
  <c r="BK4" i="10"/>
  <c r="BL4" i="10"/>
  <c r="BM4" i="10"/>
  <c r="BN4" i="10"/>
  <c r="BO4" i="10"/>
  <c r="BP4" i="10"/>
  <c r="BQ4" i="10"/>
  <c r="BR4" i="10"/>
  <c r="BS4" i="10"/>
  <c r="BT4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J5" i="10"/>
  <c r="AK5" i="10"/>
  <c r="AL5" i="10"/>
  <c r="AM5" i="10"/>
  <c r="AN5" i="10"/>
  <c r="AO5" i="10"/>
  <c r="AP5" i="10"/>
  <c r="AR5" i="10"/>
  <c r="AS5" i="10"/>
  <c r="AT5" i="10"/>
  <c r="AU5" i="10"/>
  <c r="AV5" i="10"/>
  <c r="AW5" i="10"/>
  <c r="AX5" i="10"/>
  <c r="AY5" i="10"/>
  <c r="AZ5" i="10"/>
  <c r="BA5" i="10"/>
  <c r="BB5" i="10"/>
  <c r="BC5" i="10"/>
  <c r="BD5" i="10"/>
  <c r="BF5" i="10"/>
  <c r="BG5" i="10"/>
  <c r="BH5" i="10"/>
  <c r="BI5" i="10"/>
  <c r="BJ5" i="10"/>
  <c r="BK5" i="10"/>
  <c r="BL5" i="10"/>
  <c r="BM5" i="10"/>
  <c r="BN5" i="10"/>
  <c r="BO5" i="10"/>
  <c r="BP5" i="10"/>
  <c r="BQ5" i="10"/>
  <c r="BR5" i="10"/>
  <c r="BS5" i="10"/>
  <c r="BT5" i="10"/>
  <c r="C6" i="10"/>
  <c r="D6" i="10"/>
  <c r="E6" i="10"/>
  <c r="F6" i="10"/>
  <c r="G6" i="10"/>
  <c r="H6" i="10"/>
  <c r="I6" i="10"/>
  <c r="J6" i="10"/>
  <c r="K6" i="10"/>
  <c r="L6" i="10"/>
  <c r="N6" i="10"/>
  <c r="O6" i="10"/>
  <c r="P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L6" i="10"/>
  <c r="AO6" i="10"/>
  <c r="AP6" i="10"/>
  <c r="AZ6" i="10"/>
  <c r="BA6" i="10"/>
  <c r="BB6" i="10"/>
  <c r="BC6" i="10"/>
  <c r="BD6" i="10"/>
  <c r="BE6" i="10"/>
  <c r="BF6" i="10"/>
  <c r="BG6" i="10"/>
  <c r="BH6" i="10"/>
  <c r="BI6" i="10"/>
  <c r="BJ6" i="10"/>
  <c r="BK6" i="10"/>
  <c r="BL6" i="10"/>
  <c r="BM6" i="10"/>
  <c r="BN6" i="10"/>
  <c r="BO6" i="10"/>
  <c r="BP6" i="10"/>
  <c r="BQ6" i="10"/>
  <c r="BR6" i="10"/>
  <c r="BS6" i="10"/>
  <c r="BT6" i="10"/>
  <c r="C2" i="9"/>
  <c r="D2" i="9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W2" i="9"/>
  <c r="X2" i="9"/>
  <c r="Y2" i="9"/>
  <c r="Z2" i="9"/>
  <c r="AA2" i="9"/>
  <c r="AB2" i="9"/>
  <c r="AC2" i="9"/>
  <c r="AD2" i="9"/>
  <c r="AE2" i="9"/>
  <c r="AF2" i="9"/>
  <c r="AG2" i="9"/>
  <c r="AH2" i="9"/>
  <c r="AI2" i="9"/>
  <c r="AJ2" i="9"/>
  <c r="AK2" i="9"/>
  <c r="AL2" i="9"/>
  <c r="AM2" i="9"/>
  <c r="AN2" i="9"/>
  <c r="AO2" i="9"/>
  <c r="AP2" i="9"/>
  <c r="AQ2" i="9"/>
  <c r="AR2" i="9"/>
  <c r="AS2" i="9"/>
  <c r="AT2" i="9"/>
  <c r="AU2" i="9"/>
  <c r="AV2" i="9"/>
  <c r="AW2" i="9"/>
  <c r="AX2" i="9"/>
  <c r="AY2" i="9"/>
  <c r="AZ2" i="9"/>
  <c r="BA2" i="9"/>
  <c r="BB2" i="9"/>
  <c r="BC2" i="9"/>
  <c r="BD2" i="9"/>
  <c r="BE2" i="9"/>
  <c r="BF2" i="9"/>
  <c r="BG2" i="9"/>
  <c r="BH2" i="9"/>
  <c r="BI2" i="9"/>
  <c r="BJ2" i="9"/>
  <c r="BK2" i="9"/>
  <c r="BL2" i="9"/>
  <c r="BM2" i="9"/>
  <c r="BN2" i="9"/>
  <c r="BO2" i="9"/>
  <c r="BP2" i="9"/>
  <c r="BQ2" i="9"/>
  <c r="BR2" i="9"/>
  <c r="BS2" i="9"/>
  <c r="BT2" i="9"/>
  <c r="C3" i="9"/>
  <c r="D3" i="9"/>
  <c r="E3" i="9"/>
  <c r="F3" i="9"/>
  <c r="G3" i="9"/>
  <c r="H3" i="9"/>
  <c r="I3" i="9"/>
  <c r="J3" i="9"/>
  <c r="K3" i="9"/>
  <c r="L3" i="9"/>
  <c r="M3" i="9"/>
  <c r="N3" i="9"/>
  <c r="O3" i="9"/>
  <c r="Q3" i="9"/>
  <c r="R3" i="9"/>
  <c r="S3" i="9"/>
  <c r="U3" i="9"/>
  <c r="V3" i="9"/>
  <c r="X3" i="9"/>
  <c r="Y3" i="9"/>
  <c r="Z3" i="9"/>
  <c r="AA3" i="9"/>
  <c r="AB3" i="9"/>
  <c r="AC3" i="9"/>
  <c r="AF3" i="9"/>
  <c r="AG3" i="9"/>
  <c r="AI3" i="9"/>
  <c r="AJ3" i="9"/>
  <c r="AK3" i="9"/>
  <c r="AL3" i="9"/>
  <c r="AN3" i="9"/>
  <c r="AO3" i="9"/>
  <c r="AP3" i="9"/>
  <c r="AQ3" i="9"/>
  <c r="AS3" i="9"/>
  <c r="AT3" i="9"/>
  <c r="AU3" i="9"/>
  <c r="AV3" i="9"/>
  <c r="AW3" i="9"/>
  <c r="AX3" i="9"/>
  <c r="AY3" i="9"/>
  <c r="AZ3" i="9"/>
  <c r="BA3" i="9"/>
  <c r="BB3" i="9"/>
  <c r="BC3" i="9"/>
  <c r="BD3" i="9"/>
  <c r="BE3" i="9"/>
  <c r="BF3" i="9"/>
  <c r="BG3" i="9"/>
  <c r="BH3" i="9"/>
  <c r="BI3" i="9"/>
  <c r="BJ3" i="9"/>
  <c r="BK3" i="9"/>
  <c r="BL3" i="9"/>
  <c r="BM3" i="9"/>
  <c r="BN3" i="9"/>
  <c r="BO3" i="9"/>
  <c r="BP3" i="9"/>
  <c r="BQ3" i="9"/>
  <c r="BR3" i="9"/>
  <c r="BS3" i="9"/>
  <c r="BT3" i="9"/>
  <c r="C4" i="9"/>
  <c r="D4" i="9"/>
  <c r="E4" i="9"/>
  <c r="F4" i="9"/>
  <c r="G4" i="9"/>
  <c r="H4" i="9"/>
  <c r="I4" i="9"/>
  <c r="J4" i="9"/>
  <c r="K4" i="9"/>
  <c r="L4" i="9"/>
  <c r="M4" i="9"/>
  <c r="N4" i="9"/>
  <c r="O4" i="9"/>
  <c r="P4" i="9"/>
  <c r="R4" i="9"/>
  <c r="S4" i="9"/>
  <c r="T4" i="9"/>
  <c r="V4" i="9"/>
  <c r="W4" i="9"/>
  <c r="X4" i="9"/>
  <c r="Y4" i="9"/>
  <c r="Z4" i="9"/>
  <c r="AA4" i="9"/>
  <c r="AB4" i="9"/>
  <c r="AD4" i="9"/>
  <c r="AE4" i="9"/>
  <c r="AF4" i="9"/>
  <c r="AG4" i="9"/>
  <c r="AH4" i="9"/>
  <c r="AI4" i="9"/>
  <c r="AK4" i="9"/>
  <c r="AL4" i="9"/>
  <c r="AM4" i="9"/>
  <c r="AP4" i="9"/>
  <c r="AR4" i="9"/>
  <c r="AS4" i="9"/>
  <c r="AT4" i="9"/>
  <c r="AU4" i="9"/>
  <c r="AV4" i="9"/>
  <c r="AW4" i="9"/>
  <c r="AX4" i="9"/>
  <c r="AY4" i="9"/>
  <c r="AZ4" i="9"/>
  <c r="BA4" i="9"/>
  <c r="BB4" i="9"/>
  <c r="BC4" i="9"/>
  <c r="BD4" i="9"/>
  <c r="BE4" i="9"/>
  <c r="BF4" i="9"/>
  <c r="BG4" i="9"/>
  <c r="BH4" i="9"/>
  <c r="BI4" i="9"/>
  <c r="BJ4" i="9"/>
  <c r="BK4" i="9"/>
  <c r="BL4" i="9"/>
  <c r="BM4" i="9"/>
  <c r="BN4" i="9"/>
  <c r="BO4" i="9"/>
  <c r="BP4" i="9"/>
  <c r="BQ4" i="9"/>
  <c r="BR4" i="9"/>
  <c r="BS4" i="9"/>
  <c r="BT4" i="9"/>
  <c r="C5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AJ5" i="9"/>
  <c r="AK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BC5" i="9"/>
  <c r="BD5" i="9"/>
  <c r="BE5" i="9"/>
  <c r="BF5" i="9"/>
  <c r="BG5" i="9"/>
  <c r="BH5" i="9"/>
  <c r="BI5" i="9"/>
  <c r="BJ5" i="9"/>
  <c r="BK5" i="9"/>
  <c r="BL5" i="9"/>
  <c r="BM5" i="9"/>
  <c r="BN5" i="9"/>
  <c r="BO5" i="9"/>
  <c r="BP5" i="9"/>
  <c r="BQ5" i="9"/>
  <c r="BR5" i="9"/>
  <c r="BS5" i="9"/>
  <c r="BT5" i="9"/>
  <c r="C6" i="9"/>
  <c r="D6" i="9"/>
  <c r="E6" i="9"/>
  <c r="F6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AJ6" i="9"/>
  <c r="AK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BC6" i="9"/>
  <c r="BD6" i="9"/>
  <c r="BE6" i="9"/>
  <c r="BF6" i="9"/>
  <c r="BG6" i="9"/>
  <c r="BH6" i="9"/>
  <c r="BI6" i="9"/>
  <c r="BJ6" i="9"/>
  <c r="BK6" i="9"/>
  <c r="BL6" i="9"/>
  <c r="BM6" i="9"/>
  <c r="BN6" i="9"/>
  <c r="BO6" i="9"/>
  <c r="BP6" i="9"/>
  <c r="BQ6" i="9"/>
  <c r="BR6" i="9"/>
  <c r="BS6" i="9"/>
  <c r="BT6" i="9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Z6" i="8"/>
  <c r="BA6" i="8"/>
  <c r="BB6" i="8"/>
  <c r="BC6" i="8"/>
  <c r="BD6" i="8"/>
  <c r="BE6" i="8"/>
  <c r="BF6" i="8"/>
  <c r="BG6" i="8"/>
  <c r="BH6" i="8"/>
  <c r="BI6" i="8"/>
  <c r="BJ6" i="8"/>
  <c r="BK6" i="8"/>
  <c r="BL6" i="8"/>
  <c r="BM6" i="8"/>
  <c r="BN6" i="8"/>
  <c r="BO6" i="8"/>
  <c r="BP6" i="8"/>
  <c r="BQ6" i="8"/>
  <c r="BR6" i="8"/>
  <c r="BS6" i="8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AK4" i="7"/>
  <c r="AL4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D4" i="7"/>
  <c r="BE4" i="7"/>
  <c r="BF4" i="7"/>
  <c r="BG4" i="7"/>
  <c r="BH4" i="7"/>
  <c r="BI4" i="7"/>
  <c r="BJ4" i="7"/>
  <c r="BK4" i="7"/>
  <c r="BL4" i="7"/>
  <c r="BM4" i="7"/>
  <c r="BN4" i="7"/>
  <c r="BO4" i="7"/>
  <c r="BP4" i="7"/>
  <c r="BQ4" i="7"/>
  <c r="BR4" i="7"/>
  <c r="BS4" i="7"/>
  <c r="BT4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AK7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BF7" i="7"/>
  <c r="BG7" i="7"/>
  <c r="BH7" i="7"/>
  <c r="BI7" i="7"/>
  <c r="BJ7" i="7"/>
  <c r="BK7" i="7"/>
  <c r="BL7" i="7"/>
  <c r="BM7" i="7"/>
  <c r="BN7" i="7"/>
  <c r="BO7" i="7"/>
  <c r="BP7" i="7"/>
  <c r="BQ7" i="7"/>
  <c r="BR7" i="7"/>
  <c r="BS7" i="7"/>
  <c r="BT7" i="7"/>
  <c r="C3" i="6"/>
  <c r="D3" i="6"/>
  <c r="E3" i="6"/>
  <c r="F3" i="6"/>
  <c r="G3" i="6"/>
  <c r="H3" i="6"/>
  <c r="I3" i="6"/>
  <c r="J3" i="6"/>
  <c r="K3" i="6"/>
  <c r="L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D3" i="6"/>
  <c r="AG3" i="6"/>
  <c r="AH3" i="6"/>
  <c r="AI3" i="6"/>
  <c r="AJ3" i="6"/>
  <c r="AK3" i="6"/>
  <c r="AM3" i="6"/>
  <c r="AO3" i="6"/>
  <c r="AP3" i="6"/>
  <c r="AR3" i="6"/>
  <c r="AS3" i="6"/>
  <c r="AT3" i="6"/>
  <c r="AV3" i="6"/>
  <c r="AW3" i="6"/>
  <c r="BA3" i="6"/>
  <c r="BB3" i="6"/>
  <c r="BD3" i="6"/>
  <c r="BE3" i="6"/>
  <c r="BF3" i="6"/>
  <c r="BG3" i="6"/>
  <c r="BH3" i="6"/>
  <c r="BI3" i="6"/>
  <c r="BJ3" i="6"/>
  <c r="BK3" i="6"/>
  <c r="BL3" i="6"/>
  <c r="C7" i="6"/>
  <c r="D7" i="6"/>
  <c r="E7" i="6"/>
  <c r="F7" i="6"/>
  <c r="G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BD7" i="6"/>
  <c r="BE7" i="6"/>
  <c r="BF7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AX14" i="6"/>
  <c r="AY14" i="6"/>
  <c r="AZ14" i="6"/>
  <c r="BA14" i="6"/>
  <c r="BB14" i="6"/>
  <c r="BD14" i="6"/>
  <c r="BE14" i="6"/>
  <c r="BF14" i="6"/>
  <c r="BH14" i="6"/>
  <c r="BI14" i="6"/>
  <c r="BJ14" i="6"/>
  <c r="BK14" i="6"/>
  <c r="BL14" i="6"/>
  <c r="BN14" i="6"/>
  <c r="BO14" i="6"/>
  <c r="BP14" i="6"/>
  <c r="BQ14" i="6"/>
  <c r="BR14" i="6"/>
  <c r="BS14" i="6"/>
  <c r="BT14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W15" i="6"/>
  <c r="AX15" i="6"/>
  <c r="AY15" i="6"/>
  <c r="AZ15" i="6"/>
  <c r="BA15" i="6"/>
  <c r="BB15" i="6"/>
  <c r="BC15" i="6"/>
  <c r="BD15" i="6"/>
  <c r="BE15" i="6"/>
  <c r="BF15" i="6"/>
  <c r="BG15" i="6"/>
  <c r="BI15" i="6"/>
  <c r="BJ15" i="6"/>
  <c r="BK15" i="6"/>
  <c r="BL15" i="6"/>
  <c r="BM15" i="6"/>
  <c r="BN15" i="6"/>
  <c r="BO15" i="6"/>
  <c r="BP15" i="6"/>
  <c r="BQ15" i="6"/>
  <c r="BR15" i="6"/>
  <c r="BS15" i="6"/>
  <c r="BT15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AR16" i="6"/>
  <c r="AS16" i="6"/>
  <c r="AT16" i="6"/>
  <c r="AU16" i="6"/>
  <c r="AV16" i="6"/>
  <c r="AW16" i="6"/>
  <c r="AX16" i="6"/>
  <c r="AY16" i="6"/>
  <c r="AZ16" i="6"/>
  <c r="BA16" i="6"/>
  <c r="BB16" i="6"/>
  <c r="BC16" i="6"/>
  <c r="BD16" i="6"/>
  <c r="BE16" i="6"/>
  <c r="BF16" i="6"/>
  <c r="BG16" i="6"/>
  <c r="BH16" i="6"/>
  <c r="BI16" i="6"/>
  <c r="BJ16" i="6"/>
  <c r="BK16" i="6"/>
  <c r="BL16" i="6"/>
  <c r="BM16" i="6"/>
  <c r="BN16" i="6"/>
  <c r="BO16" i="6"/>
  <c r="BP16" i="6"/>
  <c r="BQ16" i="6"/>
  <c r="BR16" i="6"/>
  <c r="BS16" i="6"/>
  <c r="BT16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V20" i="6"/>
  <c r="AW20" i="6"/>
  <c r="AX20" i="6"/>
  <c r="AY20" i="6"/>
  <c r="AZ20" i="6"/>
  <c r="BA20" i="6"/>
  <c r="BB20" i="6"/>
  <c r="BC20" i="6"/>
  <c r="BD20" i="6"/>
  <c r="BE20" i="6"/>
  <c r="BF20" i="6"/>
  <c r="BG20" i="6"/>
  <c r="BH20" i="6"/>
  <c r="BI20" i="6"/>
  <c r="BJ20" i="6"/>
  <c r="BK20" i="6"/>
  <c r="BL20" i="6"/>
  <c r="BM20" i="6"/>
  <c r="BN20" i="6"/>
  <c r="BO20" i="6"/>
  <c r="BP20" i="6"/>
  <c r="BQ20" i="6"/>
  <c r="BR20" i="6"/>
  <c r="BS20" i="6"/>
  <c r="BT20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U21" i="6"/>
  <c r="AV21" i="6"/>
  <c r="AW21" i="6"/>
  <c r="AX21" i="6"/>
  <c r="AY21" i="6"/>
  <c r="AZ21" i="6"/>
  <c r="BA21" i="6"/>
  <c r="BB21" i="6"/>
  <c r="BC21" i="6"/>
  <c r="BD21" i="6"/>
  <c r="BE21" i="6"/>
  <c r="BF21" i="6"/>
  <c r="BG21" i="6"/>
  <c r="BH21" i="6"/>
  <c r="BI21" i="6"/>
  <c r="BJ21" i="6"/>
  <c r="BK21" i="6"/>
  <c r="BL21" i="6"/>
  <c r="BM21" i="6"/>
  <c r="BN21" i="6"/>
  <c r="BO21" i="6"/>
  <c r="BP21" i="6"/>
  <c r="BQ21" i="6"/>
  <c r="BR21" i="6"/>
  <c r="BS21" i="6"/>
  <c r="BT21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V23" i="6"/>
  <c r="AW23" i="6"/>
  <c r="AX23" i="6"/>
  <c r="AY23" i="6"/>
  <c r="AZ23" i="6"/>
  <c r="BA23" i="6"/>
  <c r="BB23" i="6"/>
  <c r="BC23" i="6"/>
  <c r="BD23" i="6"/>
  <c r="BE23" i="6"/>
  <c r="BF23" i="6"/>
  <c r="BG23" i="6"/>
  <c r="BH23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W24" i="6"/>
  <c r="AX24" i="6"/>
  <c r="AY24" i="6"/>
  <c r="AZ24" i="6"/>
  <c r="BA24" i="6"/>
  <c r="BB24" i="6"/>
  <c r="BC24" i="6"/>
  <c r="BD24" i="6"/>
  <c r="BE24" i="6"/>
  <c r="BF24" i="6"/>
  <c r="BG24" i="6"/>
  <c r="BH24" i="6"/>
  <c r="BI24" i="6"/>
  <c r="BJ24" i="6"/>
  <c r="BK24" i="6"/>
  <c r="BL24" i="6"/>
  <c r="BM24" i="6"/>
  <c r="BN24" i="6"/>
  <c r="BO24" i="6"/>
  <c r="BP24" i="6"/>
  <c r="BQ24" i="6"/>
  <c r="BR24" i="6"/>
  <c r="BS24" i="6"/>
  <c r="BT24" i="6"/>
  <c r="D2" i="5"/>
  <c r="F2" i="5"/>
  <c r="G2" i="5"/>
  <c r="J2" i="5"/>
  <c r="K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J2" i="5"/>
  <c r="AL2" i="5"/>
  <c r="AM2" i="5"/>
  <c r="AO2" i="5"/>
  <c r="AP2" i="5"/>
  <c r="AQ2" i="5"/>
  <c r="AR2" i="5"/>
  <c r="AS2" i="5"/>
  <c r="AT2" i="5"/>
  <c r="AU2" i="5"/>
  <c r="AW2" i="5"/>
  <c r="AX2" i="5"/>
  <c r="AY2" i="5"/>
  <c r="AZ2" i="5"/>
  <c r="BA2" i="5"/>
  <c r="BB2" i="5"/>
  <c r="BC2" i="5"/>
  <c r="BD2" i="5"/>
  <c r="BE2" i="5"/>
  <c r="BF2" i="5"/>
  <c r="BG2" i="5"/>
  <c r="BH2" i="5"/>
  <c r="BI2" i="5"/>
  <c r="BJ2" i="5"/>
  <c r="BK2" i="5"/>
  <c r="BL2" i="5"/>
  <c r="BM2" i="5"/>
  <c r="BN2" i="5"/>
  <c r="BO2" i="5"/>
  <c r="BP2" i="5"/>
  <c r="BQ2" i="5"/>
  <c r="BR2" i="5"/>
  <c r="BS2" i="5"/>
  <c r="BT2" i="5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C6" i="4"/>
  <c r="D6" i="4"/>
  <c r="E6" i="4"/>
  <c r="F6" i="4"/>
  <c r="G6" i="4"/>
  <c r="H6" i="4"/>
  <c r="I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BF2" i="3"/>
  <c r="BG2" i="3"/>
  <c r="BH2" i="3"/>
  <c r="BI2" i="3"/>
  <c r="BJ2" i="3"/>
  <c r="BK2" i="3"/>
  <c r="BL2" i="3"/>
  <c r="BM2" i="3"/>
  <c r="BN2" i="3"/>
  <c r="BO2" i="3"/>
  <c r="BP2" i="3"/>
  <c r="BQ2" i="3"/>
  <c r="BR2" i="3"/>
  <c r="BS2" i="3"/>
  <c r="BT2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C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Z12" i="3"/>
  <c r="BA12" i="3"/>
  <c r="BB12" i="3"/>
  <c r="BC12" i="3"/>
  <c r="BD12" i="3"/>
  <c r="BE12" i="3"/>
  <c r="BG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C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T28" i="3"/>
  <c r="C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BS30" i="3"/>
  <c r="BT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BT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Z35" i="3"/>
  <c r="AB35" i="3"/>
  <c r="AC35" i="3"/>
  <c r="AD35" i="3"/>
  <c r="AE35" i="3"/>
  <c r="AG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BS36" i="3"/>
  <c r="BT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BN37" i="3"/>
  <c r="BO37" i="3"/>
  <c r="BP37" i="3"/>
  <c r="BQ37" i="3"/>
  <c r="BR37" i="3"/>
  <c r="BS37" i="3"/>
  <c r="BT37" i="3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</calcChain>
</file>

<file path=xl/sharedStrings.xml><?xml version="1.0" encoding="utf-8"?>
<sst xmlns="http://schemas.openxmlformats.org/spreadsheetml/2006/main" count="384" uniqueCount="273">
  <si>
    <t>Wolf</t>
  </si>
  <si>
    <t>Pawns</t>
  </si>
  <si>
    <t>Killer Bee</t>
  </si>
  <si>
    <t>Brute Ape</t>
  </si>
  <si>
    <t>Slime</t>
  </si>
  <si>
    <t>Deep slime</t>
  </si>
  <si>
    <t>Blob</t>
  </si>
  <si>
    <t>Mudman</t>
  </si>
  <si>
    <t>Clay doll?</t>
  </si>
  <si>
    <t>Goblin Alc Fighter/Sling</t>
  </si>
  <si>
    <t>180?</t>
  </si>
  <si>
    <t>Wight</t>
  </si>
  <si>
    <t>2927?</t>
  </si>
  <si>
    <t>Cyclops</t>
  </si>
  <si>
    <t>Infected Gorecyclops</t>
  </si>
  <si>
    <t>5925?</t>
  </si>
  <si>
    <t>Goliath (Jewelry)</t>
  </si>
  <si>
    <t>Wyrm</t>
  </si>
  <si>
    <t>Infected Direwolf</t>
  </si>
  <si>
    <t>Lux Skeleton</t>
  </si>
  <si>
    <t>Ghost</t>
  </si>
  <si>
    <t>Angules</t>
  </si>
  <si>
    <t>Troll</t>
  </si>
  <si>
    <t>Spinel Lizard</t>
  </si>
  <si>
    <t>Behemoth</t>
  </si>
  <si>
    <t>Empress Ghost</t>
  </si>
  <si>
    <t>4147 (4174?)</t>
  </si>
  <si>
    <t>4249?</t>
  </si>
  <si>
    <t>Red Sphinx</t>
  </si>
  <si>
    <t>Mist Drake</t>
  </si>
  <si>
    <t>Witch</t>
  </si>
  <si>
    <t>3444?</t>
  </si>
  <si>
    <t>Geo Golem (Treasure)</t>
  </si>
  <si>
    <t>5248?</t>
  </si>
  <si>
    <t>Skeleton Kn mine?</t>
  </si>
  <si>
    <t>Hobgoblin/Sling</t>
  </si>
  <si>
    <t>Hobgoblin Fighter</t>
  </si>
  <si>
    <t>Hobgoblin leader</t>
  </si>
  <si>
    <t>Direwolf</t>
  </si>
  <si>
    <t>Sludge Man</t>
  </si>
  <si>
    <t>123?</t>
  </si>
  <si>
    <t>Grimwarg</t>
  </si>
  <si>
    <t>Shadow Wolf</t>
  </si>
  <si>
    <t>Shadow Harpy</t>
  </si>
  <si>
    <t>Griffin</t>
  </si>
  <si>
    <t>Cockatrice</t>
  </si>
  <si>
    <t>5890?</t>
  </si>
  <si>
    <t>Gigant Breaker</t>
  </si>
  <si>
    <t>Gigant Destroyer</t>
  </si>
  <si>
    <t>Clone Zuhl</t>
  </si>
  <si>
    <t>Frost Corpse Torturer</t>
  </si>
  <si>
    <t>231/233</t>
  </si>
  <si>
    <t>310?</t>
  </si>
  <si>
    <t>344? 340?</t>
  </si>
  <si>
    <t>Frost Corpse Punisher</t>
  </si>
  <si>
    <t>Mogok</t>
  </si>
  <si>
    <t>Barbarian</t>
  </si>
  <si>
    <t>Hollow Knight</t>
  </si>
  <si>
    <t>Gemstone Eye</t>
  </si>
  <si>
    <t>364?</t>
  </si>
  <si>
    <t>Damned Gob/Sling</t>
  </si>
  <si>
    <t>Damned Gob Fight</t>
  </si>
  <si>
    <t>Banded Humans</t>
  </si>
  <si>
    <t>Mergan Fighter</t>
  </si>
  <si>
    <t>Mergan Others</t>
  </si>
  <si>
    <t>Damned Golem</t>
  </si>
  <si>
    <t>Nightmare</t>
  </si>
  <si>
    <t>Silver Roar</t>
  </si>
  <si>
    <t>Rock Saurian</t>
  </si>
  <si>
    <t>Spider</t>
  </si>
  <si>
    <t>Rat</t>
  </si>
  <si>
    <t>Worm</t>
  </si>
  <si>
    <t>Rabbit</t>
  </si>
  <si>
    <t>Ooze</t>
  </si>
  <si>
    <t>Damned Wolf</t>
  </si>
  <si>
    <t>Saurian</t>
  </si>
  <si>
    <t>Blue Newt</t>
  </si>
  <si>
    <t>Great Saurian</t>
  </si>
  <si>
    <t>Sulfur Saurian</t>
  </si>
  <si>
    <t>Large Sul. Saurian</t>
  </si>
  <si>
    <t>Chimera</t>
  </si>
  <si>
    <t>Chimera (Shadow)</t>
  </si>
  <si>
    <t>Chimera (White)</t>
  </si>
  <si>
    <t>Colossus</t>
  </si>
  <si>
    <t>Cyclops (Armoured)</t>
  </si>
  <si>
    <t>Dread Ape</t>
  </si>
  <si>
    <t>Ent</t>
  </si>
  <si>
    <t>Ghoul</t>
  </si>
  <si>
    <t>Gigant Machina</t>
  </si>
  <si>
    <t>Golem</t>
  </si>
  <si>
    <t>Golem (Damned)</t>
  </si>
  <si>
    <t>Golem (Geo)</t>
  </si>
  <si>
    <t>Goliath</t>
  </si>
  <si>
    <t>Gorecyclops (Infected)</t>
  </si>
  <si>
    <t>Griffin (Alchemised)</t>
  </si>
  <si>
    <t>Griffin (Black)</t>
  </si>
  <si>
    <t>Lindwurm</t>
  </si>
  <si>
    <t>Mist Wyrm</t>
  </si>
  <si>
    <t>Ogre</t>
  </si>
  <si>
    <t>Troll (Mole)</t>
  </si>
  <si>
    <t>Sphinx</t>
  </si>
  <si>
    <t>Snow Harpy</t>
  </si>
  <si>
    <t>132?</t>
  </si>
  <si>
    <t>Harpy</t>
  </si>
  <si>
    <t>Rogues</t>
  </si>
  <si>
    <t>Mist Humans</t>
  </si>
  <si>
    <t>295?</t>
  </si>
  <si>
    <t>Scarlet Humans?</t>
  </si>
  <si>
    <t>Pawn Fighter/Priest¹</t>
  </si>
  <si>
    <t>Pawn Mage</t>
  </si>
  <si>
    <t>Skeleton</t>
  </si>
  <si>
    <t>158?</t>
  </si>
  <si>
    <t>Skeleton Knight</t>
  </si>
  <si>
    <t>Skeleton Mage</t>
  </si>
  <si>
    <t>Skeleton Sorc</t>
  </si>
  <si>
    <t>53?</t>
  </si>
  <si>
    <t>184?</t>
  </si>
  <si>
    <t>Skeleton Warrior</t>
  </si>
  <si>
    <t>224?</t>
  </si>
  <si>
    <t>Lux Skeleton Brute</t>
  </si>
  <si>
    <t>Frost Skeleton Brute</t>
  </si>
  <si>
    <t>Living Armor</t>
  </si>
  <si>
    <t>Death Knight</t>
  </si>
  <si>
    <t xml:space="preserve"> </t>
  </si>
  <si>
    <t>Skull Lord</t>
  </si>
  <si>
    <t>Ghost Mail</t>
  </si>
  <si>
    <t>15300 40 troll exp?</t>
  </si>
  <si>
    <t>Undead</t>
  </si>
  <si>
    <t>Bloated Undead</t>
  </si>
  <si>
    <t>Warrior Undead</t>
  </si>
  <si>
    <t>Undead Swordsman</t>
  </si>
  <si>
    <t>Goblin/Sling</t>
  </si>
  <si>
    <t>Shield Goblin</t>
  </si>
  <si>
    <t>104?</t>
  </si>
  <si>
    <t>Goblin Leader</t>
  </si>
  <si>
    <t>Redcaps</t>
  </si>
  <si>
    <t>Goblin Bomber</t>
  </si>
  <si>
    <t>Shadow Goblin/Sling</t>
  </si>
  <si>
    <t>Shadow Gob Fighter</t>
  </si>
  <si>
    <t>Shadow Gob Leader</t>
  </si>
  <si>
    <t>Hobgoblin</t>
  </si>
  <si>
    <t>Hobgoblin Fighter/Sling</t>
  </si>
  <si>
    <t>Orc Battler</t>
  </si>
  <si>
    <t>Orc Blitz/Troop/Rem</t>
  </si>
  <si>
    <t>Orc General</t>
  </si>
  <si>
    <t>Orc Captain</t>
  </si>
  <si>
    <t>Orc Tosser/Soldier/Van</t>
  </si>
  <si>
    <t>Alc Skeleton¹</t>
  </si>
  <si>
    <t>Alc Wolf</t>
  </si>
  <si>
    <t>Alc Eye</t>
  </si>
  <si>
    <t>Alc Eye (Jewelry)</t>
  </si>
  <si>
    <t>Alc Harpy</t>
  </si>
  <si>
    <t>Alchemized Griffin</t>
  </si>
  <si>
    <t>Meat</t>
  </si>
  <si>
    <t>¹ The Dull Grey Ark</t>
  </si>
  <si>
    <t>Infected Behemoth</t>
  </si>
  <si>
    <t>Infected Snow Harpy</t>
  </si>
  <si>
    <t>Frost Skeleton</t>
  </si>
  <si>
    <t>Flame Sk?</t>
  </si>
  <si>
    <t>Flame Skeleton Brute</t>
  </si>
  <si>
    <t>Bounty Flame Skeleton Brute</t>
  </si>
  <si>
    <t>Infected Griffin</t>
  </si>
  <si>
    <t>Infected Hobgoblin</t>
  </si>
  <si>
    <t>Infected Hobgoblin Fighter</t>
  </si>
  <si>
    <t>Infected Hobgoblin Sling</t>
  </si>
  <si>
    <t>Bounty Infected Direwolf</t>
  </si>
  <si>
    <t>Flame Corpse Torturer</t>
  </si>
  <si>
    <t>Dark Corpse Torturer</t>
  </si>
  <si>
    <t>Large Newt</t>
  </si>
  <si>
    <t>Bolt Grimwarg</t>
  </si>
  <si>
    <t>Bolt Skeletom</t>
  </si>
  <si>
    <t>Acid Blob</t>
  </si>
  <si>
    <t>Hobgoblin Leader</t>
  </si>
  <si>
    <t>Bolt Skeleton Brute</t>
  </si>
  <si>
    <t>Aqua Jelly</t>
  </si>
  <si>
    <t>Bounty Behemoth</t>
  </si>
  <si>
    <t>Strix</t>
  </si>
  <si>
    <t>Gargoyle</t>
  </si>
  <si>
    <t>Bounty Frost Machina</t>
  </si>
  <si>
    <t>Bounty Target Bosses I</t>
  </si>
  <si>
    <t>Bosses I</t>
  </si>
  <si>
    <t>Sulfur Saurian (x2?)</t>
  </si>
  <si>
    <t>Large Sulfur (x2?)</t>
  </si>
  <si>
    <t>Saurian Sage (x2?)</t>
  </si>
  <si>
    <t>Bolt Corpse Torturer x2?</t>
  </si>
  <si>
    <t>Zombie</t>
  </si>
  <si>
    <t>Frost Machina</t>
  </si>
  <si>
    <t>5037 (fer)</t>
  </si>
  <si>
    <t>3000?</t>
  </si>
  <si>
    <t>6675?</t>
  </si>
  <si>
    <r>
      <rPr>
        <sz val="10"/>
        <rFont val="Microsoft YaHei"/>
        <family val="2"/>
      </rPr>
      <t xml:space="preserve">九の災厄 </t>
    </r>
    <r>
      <rPr>
        <sz val="10"/>
        <rFont val="Arial"/>
        <family val="2"/>
      </rPr>
      <t>- Nine Calamities</t>
    </r>
  </si>
  <si>
    <t>Quest Name</t>
  </si>
  <si>
    <t>Translation</t>
  </si>
  <si>
    <t>Random Reward 1</t>
  </si>
  <si>
    <t>Random Reward 2</t>
  </si>
  <si>
    <t>Random Reward 3</t>
  </si>
  <si>
    <t>霊廟に巣くう災</t>
  </si>
  <si>
    <t>The Evil Lurking in the Tombs</t>
  </si>
  <si>
    <t>Crest of Unburdening</t>
  </si>
  <si>
    <t>Crest of Lowered Strength+</t>
  </si>
  <si>
    <t>Crest of Lowered Defense+</t>
  </si>
  <si>
    <t xml:space="preserve">死を呼ぶはばたき </t>
  </si>
  <si>
    <t>Fluttering Calls of Death</t>
  </si>
  <si>
    <t>Crest of Dazzling</t>
  </si>
  <si>
    <t>Crest of Lowered Magick+</t>
  </si>
  <si>
    <t>Crest of Lowered Magick Defense+</t>
  </si>
  <si>
    <t>悪しき探求者</t>
  </si>
  <si>
    <t>The Wicked Pursuer</t>
  </si>
  <si>
    <t>Crest of Protection+</t>
  </si>
  <si>
    <r>
      <rPr>
        <sz val="10"/>
        <rFont val="Arial"/>
        <family val="2"/>
      </rPr>
      <t>Crest of Firm Protection</t>
    </r>
    <r>
      <rPr>
        <sz val="10"/>
        <rFont val="Times New Roman"/>
        <family val="1"/>
      </rPr>
      <t xml:space="preserve"> </t>
    </r>
  </si>
  <si>
    <t>Crest of Sheer Protection</t>
  </si>
  <si>
    <t>うってつけの強者</t>
  </si>
  <si>
    <t>The Perfect Warrior</t>
  </si>
  <si>
    <t>Crest of Magick+</t>
  </si>
  <si>
    <t>Crest of Superior Magick</t>
  </si>
  <si>
    <t>Crest of Sheer Magick</t>
  </si>
  <si>
    <t>空を覆う黒影</t>
  </si>
  <si>
    <t>The Dark Shadow Covering the Sky</t>
  </si>
  <si>
    <t>Crest of Perseverance+</t>
  </si>
  <si>
    <t>Crest of Stubborn Perseverance</t>
  </si>
  <si>
    <t>Crest of Perseverance</t>
  </si>
  <si>
    <t>青鱗の凶竜</t>
  </si>
  <si>
    <t>The Blue-Scaled Evil Dragon</t>
  </si>
  <si>
    <t>Crest of Intelligence+</t>
  </si>
  <si>
    <t>Crest of Wisdom</t>
  </si>
  <si>
    <t>Crest of Sheer Intelligence</t>
  </si>
  <si>
    <t>坑道の怪物</t>
  </si>
  <si>
    <t>The Tunnel Beast</t>
  </si>
  <si>
    <t>Crest of Power+</t>
  </si>
  <si>
    <t>Crest of Herculean Power</t>
  </si>
  <si>
    <t>Crest of Sheer Power</t>
  </si>
  <si>
    <t>呪われし徘徊者</t>
  </si>
  <si>
    <t>The Accursed Wanderer</t>
  </si>
  <si>
    <t>Crest of Crystallization</t>
  </si>
  <si>
    <t>Crest of Petrification</t>
  </si>
  <si>
    <t>Crest of Petrification Prevention</t>
  </si>
  <si>
    <t>亡都を歩む影</t>
  </si>
  <si>
    <t>The Shadow That Roams the Dead City</t>
  </si>
  <si>
    <t>Crest of Restoration+</t>
  </si>
  <si>
    <t>Crest of Fortitude</t>
  </si>
  <si>
    <t>Crest of Restoration</t>
  </si>
  <si>
    <r>
      <rPr>
        <sz val="10"/>
        <rFont val="Microsoft YaHei"/>
        <family val="2"/>
      </rPr>
      <t xml:space="preserve">降臨！十二の災厄 </t>
    </r>
    <r>
      <rPr>
        <sz val="10"/>
        <rFont val="Arial"/>
        <family val="2"/>
      </rPr>
      <t>- The Twelve Calamities Descend!</t>
    </r>
  </si>
  <si>
    <t>Crest of Dismantling II</t>
  </si>
  <si>
    <t>Crest of Dismantling</t>
  </si>
  <si>
    <t>Crest of Exorcism</t>
  </si>
  <si>
    <t>Crest of Deeper Sleep</t>
  </si>
  <si>
    <t>Crest of Sleep Warding</t>
  </si>
  <si>
    <t>Crest of Sleep Prevention</t>
  </si>
  <si>
    <t>Crest of Greater Intelligence</t>
  </si>
  <si>
    <t>Crest of Firm Protection</t>
  </si>
  <si>
    <t>Crest of Greater Protection</t>
  </si>
  <si>
    <t>高みの見物</t>
  </si>
  <si>
    <t>The Spectator</t>
  </si>
  <si>
    <t>Crest of Sealing</t>
  </si>
  <si>
    <t>Crest of Stifle Warding</t>
  </si>
  <si>
    <t>Crest of Stifle Prevention</t>
  </si>
  <si>
    <t>Crest of Petrification Warding</t>
  </si>
  <si>
    <t>Crest of Stunning Warding</t>
  </si>
  <si>
    <t>Crest of Stunning Prevention</t>
  </si>
  <si>
    <t>Crest of Dragonsbane II</t>
  </si>
  <si>
    <t>Crest of Dragonsbane</t>
  </si>
  <si>
    <t>Crest of Drowning</t>
  </si>
  <si>
    <t>The Shadow Roaming the Dead City</t>
  </si>
  <si>
    <t>Crest of Greater Power</t>
  </si>
  <si>
    <t>深き森の番人</t>
  </si>
  <si>
    <t>The Keeper of the Woods</t>
  </si>
  <si>
    <t>Crest of Greater Magick</t>
  </si>
  <si>
    <t>囚われの亡霊</t>
  </si>
  <si>
    <t>The Bound Spirit</t>
  </si>
  <si>
    <t>改造魔獣、襲撃！</t>
  </si>
  <si>
    <t>An Altered Beast Attacks!</t>
  </si>
  <si>
    <t>Crest of Curse Warding</t>
  </si>
  <si>
    <t>Crest of Curse Prevention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</si>
</sst>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color indexed="13"/>
      <name val="Arial"/>
      <family val="2"/>
    </font>
    <font>
      <sz val="10"/>
      <name val="Microsoft YaHei"/>
      <family val="2"/>
    </font>
    <font>
      <sz val="10"/>
      <name val="Segoe UI"/>
      <family val="2"/>
    </font>
    <font>
      <sz val="1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55"/>
        <bgColor indexed="50"/>
      </patternFill>
    </fill>
    <fill>
      <patternFill patternType="solid">
        <fgColor indexed="43"/>
        <bgColor indexed="47"/>
      </patternFill>
    </fill>
    <fill>
      <patternFill patternType="solid">
        <fgColor indexed="62"/>
        <bgColor indexed="63"/>
      </patternFill>
    </fill>
    <fill>
      <patternFill patternType="solid">
        <fgColor indexed="53"/>
        <bgColor indexed="52"/>
      </patternFill>
    </fill>
    <fill>
      <patternFill patternType="solid">
        <fgColor indexed="30"/>
        <bgColor indexed="54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17"/>
      </patternFill>
    </fill>
    <fill>
      <patternFill patternType="solid">
        <fgColor indexed="20"/>
        <bgColor indexed="36"/>
      </patternFill>
    </fill>
    <fill>
      <patternFill patternType="solid">
        <fgColor indexed="52"/>
        <bgColor indexed="5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0" fillId="2" borderId="0" xfId="0" applyFont="1" applyFill="1"/>
    <xf numFmtId="0" fontId="0" fillId="8" borderId="0" xfId="0" applyFill="1"/>
    <xf numFmtId="0" fontId="0" fillId="0" borderId="0" xfId="0" applyFill="1"/>
    <xf numFmtId="0" fontId="0" fillId="4" borderId="0" xfId="0" applyFont="1" applyFill="1"/>
    <xf numFmtId="0" fontId="0" fillId="9" borderId="0" xfId="0" applyFill="1"/>
    <xf numFmtId="0" fontId="0" fillId="10" borderId="0" xfId="0" applyFill="1"/>
    <xf numFmtId="0" fontId="1" fillId="9" borderId="0" xfId="0" applyFont="1" applyFill="1"/>
    <xf numFmtId="0" fontId="3" fillId="0" borderId="0" xfId="0" applyFont="1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3" fillId="0" borderId="0" xfId="0" applyFont="1"/>
    <xf numFmtId="0" fontId="2" fillId="0" borderId="0" xfId="0" applyFont="1"/>
    <xf numFmtId="0" fontId="2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2A60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E994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8000"/>
      <rgbColor rgb="00EA7500"/>
      <rgbColor rgb="00666699"/>
      <rgbColor rgb="0077BC65"/>
      <rgbColor rgb="00003366"/>
      <rgbColor rgb="0000A933"/>
      <rgbColor rgb="00003300"/>
      <rgbColor rgb="00333300"/>
      <rgbColor rgb="00993300"/>
      <rgbColor rgb="00993366"/>
      <rgbColor rgb="0055308D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0DE6A-52EB-44DB-B54A-6D6A0834DD4C}">
  <dimension ref="A1:BT63"/>
  <sheetViews>
    <sheetView workbookViewId="0">
      <pane xSplit="1" ySplit="1" topLeftCell="AG23" activePane="bottomRight" state="frozen"/>
      <selection pane="topRight" activeCell="AG1" sqref="AG1"/>
      <selection pane="bottomLeft" activeCell="A23" sqref="A23"/>
      <selection pane="bottomRight" activeCell="AR35" sqref="AR35"/>
    </sheetView>
  </sheetViews>
  <sheetFormatPr defaultColWidth="11.5" defaultRowHeight="12.9" x14ac:dyDescent="0.2"/>
  <cols>
    <col min="1" max="1" width="19.25" customWidth="1"/>
    <col min="2" max="72" width="6.375" customWidth="1"/>
  </cols>
  <sheetData>
    <row r="1" spans="1:72" x14ac:dyDescent="0.2">
      <c r="B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</row>
    <row r="2" spans="1:72" x14ac:dyDescent="0.2">
      <c r="A2" t="s">
        <v>0</v>
      </c>
      <c r="C2" s="3"/>
      <c r="D2" s="3"/>
      <c r="E2" s="4">
        <v>26</v>
      </c>
      <c r="F2" s="3">
        <v>29</v>
      </c>
      <c r="G2" s="3">
        <v>32</v>
      </c>
      <c r="H2" s="3">
        <v>35</v>
      </c>
      <c r="I2" s="4">
        <v>38</v>
      </c>
      <c r="J2" s="3">
        <v>41</v>
      </c>
      <c r="K2" s="3">
        <v>44</v>
      </c>
      <c r="L2" s="3">
        <v>46</v>
      </c>
      <c r="M2" s="3">
        <v>49</v>
      </c>
      <c r="N2" s="3">
        <v>52</v>
      </c>
      <c r="O2" s="3">
        <v>55</v>
      </c>
      <c r="P2" s="3">
        <v>58</v>
      </c>
      <c r="Q2" s="3">
        <v>61</v>
      </c>
      <c r="R2" s="3">
        <v>64</v>
      </c>
      <c r="S2" s="3">
        <v>66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L2">
        <v>121</v>
      </c>
      <c r="AM2">
        <v>124</v>
      </c>
    </row>
    <row r="3" spans="1:72" x14ac:dyDescent="0.2">
      <c r="A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BM3">
        <v>271</v>
      </c>
    </row>
    <row r="4" spans="1:72" x14ac:dyDescent="0.2">
      <c r="A4" t="s">
        <v>2</v>
      </c>
      <c r="C4" s="3">
        <v>12</v>
      </c>
      <c r="D4" s="3"/>
      <c r="E4" s="3">
        <v>13</v>
      </c>
      <c r="F4" s="3"/>
      <c r="G4" s="3"/>
      <c r="H4" s="3">
        <v>14</v>
      </c>
      <c r="I4" s="3">
        <v>15</v>
      </c>
      <c r="J4" s="3">
        <v>15</v>
      </c>
      <c r="K4" s="3"/>
      <c r="L4" s="3"/>
      <c r="M4" s="3"/>
      <c r="N4" s="3"/>
      <c r="O4" s="3"/>
      <c r="P4" s="3"/>
      <c r="Q4" s="3"/>
      <c r="R4" s="3"/>
      <c r="S4" s="3"/>
      <c r="T4" s="2"/>
      <c r="U4" s="2"/>
      <c r="V4" s="2"/>
      <c r="W4" s="2"/>
      <c r="X4" s="2"/>
      <c r="Y4" s="2"/>
      <c r="Z4" s="2"/>
      <c r="AA4" s="2"/>
      <c r="AB4" s="2"/>
      <c r="AC4" s="2">
        <v>24</v>
      </c>
      <c r="AD4" s="2"/>
      <c r="AE4" s="2"/>
    </row>
    <row r="5" spans="1:72" x14ac:dyDescent="0.2">
      <c r="A5" t="s">
        <v>3</v>
      </c>
      <c r="C5" s="3"/>
      <c r="D5" s="3"/>
      <c r="E5" s="3"/>
      <c r="F5" s="3"/>
      <c r="G5" s="3"/>
      <c r="H5" s="3"/>
      <c r="I5" s="3"/>
      <c r="J5" s="3"/>
      <c r="K5" s="3"/>
      <c r="L5" s="3">
        <v>108</v>
      </c>
      <c r="M5" s="3"/>
      <c r="N5" s="3">
        <v>116</v>
      </c>
      <c r="O5" s="3"/>
      <c r="P5" s="3"/>
      <c r="Q5" s="3"/>
      <c r="R5" s="3"/>
      <c r="S5" s="3"/>
      <c r="T5" s="2">
        <v>141</v>
      </c>
      <c r="U5" s="2"/>
      <c r="V5" s="2"/>
      <c r="W5" s="2"/>
      <c r="X5" s="2"/>
      <c r="Y5" s="2"/>
      <c r="Z5" s="2"/>
      <c r="AA5" s="2"/>
      <c r="AB5" s="2"/>
      <c r="AC5" s="2"/>
      <c r="AD5" s="2">
        <v>182</v>
      </c>
      <c r="AE5" s="2"/>
      <c r="AH5">
        <v>198</v>
      </c>
      <c r="AR5">
        <v>239</v>
      </c>
    </row>
    <row r="6" spans="1:72" x14ac:dyDescent="0.2">
      <c r="A6" t="s">
        <v>4</v>
      </c>
      <c r="C6" s="3"/>
      <c r="D6" s="3"/>
      <c r="E6" s="3">
        <v>13</v>
      </c>
      <c r="F6" s="3"/>
      <c r="G6" s="3"/>
      <c r="H6" s="3"/>
      <c r="I6" s="3"/>
      <c r="J6" s="3"/>
      <c r="K6" s="3"/>
      <c r="L6" s="3">
        <v>16</v>
      </c>
      <c r="M6" s="3"/>
      <c r="N6" s="3"/>
      <c r="O6" s="3"/>
      <c r="P6" s="3"/>
      <c r="Q6" s="3"/>
      <c r="R6" s="3"/>
      <c r="S6" s="3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72" x14ac:dyDescent="0.2">
      <c r="A7" t="s">
        <v>5</v>
      </c>
      <c r="C7" s="3"/>
      <c r="D7" s="3"/>
      <c r="E7" s="3"/>
      <c r="F7" s="3"/>
      <c r="G7" s="3"/>
      <c r="H7" s="3">
        <v>26</v>
      </c>
      <c r="I7" s="3"/>
      <c r="J7" s="3"/>
      <c r="K7" s="3"/>
      <c r="L7" s="3">
        <v>28</v>
      </c>
      <c r="M7" s="3">
        <v>29</v>
      </c>
      <c r="N7" s="3"/>
      <c r="O7" s="3"/>
      <c r="P7" s="3"/>
      <c r="Q7" s="3"/>
      <c r="R7" s="3"/>
      <c r="S7" s="3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72" x14ac:dyDescent="0.2">
      <c r="A8" t="s">
        <v>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Y8" s="5">
        <v>148</v>
      </c>
      <c r="AZ8" s="5">
        <v>150</v>
      </c>
    </row>
    <row r="9" spans="1:72" x14ac:dyDescent="0.2">
      <c r="A9" t="s">
        <v>7</v>
      </c>
      <c r="B9">
        <v>25</v>
      </c>
      <c r="C9" s="3">
        <f t="shared" ref="C9:AH9" si="0">$B9+4*C1</f>
        <v>29</v>
      </c>
      <c r="D9" s="3">
        <f t="shared" si="0"/>
        <v>33</v>
      </c>
      <c r="E9" s="3">
        <f t="shared" si="0"/>
        <v>37</v>
      </c>
      <c r="F9" s="3">
        <f t="shared" si="0"/>
        <v>41</v>
      </c>
      <c r="G9" s="3">
        <f t="shared" si="0"/>
        <v>45</v>
      </c>
      <c r="H9" s="3">
        <f t="shared" si="0"/>
        <v>49</v>
      </c>
      <c r="I9" s="3">
        <f t="shared" si="0"/>
        <v>53</v>
      </c>
      <c r="J9" s="3">
        <f t="shared" si="0"/>
        <v>57</v>
      </c>
      <c r="K9" s="3">
        <f t="shared" si="0"/>
        <v>61</v>
      </c>
      <c r="L9" s="3">
        <f t="shared" si="0"/>
        <v>65</v>
      </c>
      <c r="M9" s="3">
        <f t="shared" si="0"/>
        <v>69</v>
      </c>
      <c r="N9" s="3">
        <f t="shared" si="0"/>
        <v>73</v>
      </c>
      <c r="O9" s="3">
        <f t="shared" si="0"/>
        <v>77</v>
      </c>
      <c r="P9" s="3">
        <f t="shared" si="0"/>
        <v>81</v>
      </c>
      <c r="Q9" s="3">
        <f t="shared" si="0"/>
        <v>85</v>
      </c>
      <c r="R9" s="3">
        <f t="shared" si="0"/>
        <v>89</v>
      </c>
      <c r="S9" s="3">
        <f t="shared" si="0"/>
        <v>93</v>
      </c>
      <c r="T9" s="3">
        <f t="shared" si="0"/>
        <v>97</v>
      </c>
      <c r="U9" s="3">
        <f t="shared" si="0"/>
        <v>101</v>
      </c>
      <c r="V9" s="3">
        <f t="shared" si="0"/>
        <v>105</v>
      </c>
      <c r="W9" s="3">
        <f t="shared" si="0"/>
        <v>109</v>
      </c>
      <c r="X9" s="3">
        <f t="shared" si="0"/>
        <v>113</v>
      </c>
      <c r="Y9" s="3">
        <f t="shared" si="0"/>
        <v>117</v>
      </c>
      <c r="Z9" s="3">
        <f t="shared" si="0"/>
        <v>121</v>
      </c>
      <c r="AA9" s="3">
        <f t="shared" si="0"/>
        <v>125</v>
      </c>
      <c r="AB9" s="3">
        <f t="shared" si="0"/>
        <v>129</v>
      </c>
      <c r="AC9" s="3">
        <f t="shared" si="0"/>
        <v>133</v>
      </c>
      <c r="AD9" s="3">
        <f t="shared" si="0"/>
        <v>137</v>
      </c>
      <c r="AE9" s="3">
        <f t="shared" si="0"/>
        <v>141</v>
      </c>
      <c r="AF9" s="3">
        <f t="shared" si="0"/>
        <v>145</v>
      </c>
      <c r="AG9" s="3">
        <f t="shared" si="0"/>
        <v>149</v>
      </c>
      <c r="AH9" s="3">
        <f t="shared" si="0"/>
        <v>153</v>
      </c>
      <c r="AI9" s="3">
        <f t="shared" ref="AI9:BN9" si="1">$B9+4*AI1</f>
        <v>157</v>
      </c>
      <c r="AJ9" s="3">
        <f t="shared" si="1"/>
        <v>161</v>
      </c>
      <c r="AK9" s="3">
        <f t="shared" si="1"/>
        <v>165</v>
      </c>
      <c r="AL9" s="3">
        <f t="shared" si="1"/>
        <v>169</v>
      </c>
      <c r="AM9" s="3">
        <f t="shared" si="1"/>
        <v>173</v>
      </c>
      <c r="AN9" s="3">
        <f t="shared" si="1"/>
        <v>177</v>
      </c>
      <c r="AO9" s="3">
        <f t="shared" si="1"/>
        <v>181</v>
      </c>
      <c r="AP9" s="3">
        <f t="shared" si="1"/>
        <v>185</v>
      </c>
      <c r="AQ9" s="3">
        <f t="shared" si="1"/>
        <v>189</v>
      </c>
      <c r="AR9" s="3">
        <f t="shared" si="1"/>
        <v>193</v>
      </c>
      <c r="AS9" s="3">
        <f t="shared" si="1"/>
        <v>197</v>
      </c>
      <c r="AT9" s="3">
        <f t="shared" si="1"/>
        <v>201</v>
      </c>
      <c r="AU9" s="3">
        <f t="shared" si="1"/>
        <v>205</v>
      </c>
      <c r="AV9" s="3">
        <f t="shared" si="1"/>
        <v>209</v>
      </c>
      <c r="AW9" s="3">
        <f t="shared" si="1"/>
        <v>213</v>
      </c>
      <c r="AX9" s="3">
        <f t="shared" si="1"/>
        <v>217</v>
      </c>
      <c r="AY9" s="3">
        <f t="shared" si="1"/>
        <v>221</v>
      </c>
      <c r="AZ9" s="3">
        <f t="shared" si="1"/>
        <v>225</v>
      </c>
      <c r="BA9" s="3">
        <f t="shared" si="1"/>
        <v>229</v>
      </c>
      <c r="BB9" s="3">
        <f t="shared" si="1"/>
        <v>233</v>
      </c>
      <c r="BC9" s="3">
        <f t="shared" si="1"/>
        <v>237</v>
      </c>
      <c r="BD9" s="3">
        <f t="shared" si="1"/>
        <v>241</v>
      </c>
      <c r="BE9" s="3">
        <f t="shared" si="1"/>
        <v>245</v>
      </c>
      <c r="BF9" s="3">
        <f t="shared" si="1"/>
        <v>249</v>
      </c>
      <c r="BG9" s="3">
        <f t="shared" si="1"/>
        <v>253</v>
      </c>
      <c r="BH9" s="3">
        <f t="shared" si="1"/>
        <v>257</v>
      </c>
      <c r="BI9" s="3">
        <f t="shared" si="1"/>
        <v>261</v>
      </c>
      <c r="BJ9" s="3">
        <f t="shared" si="1"/>
        <v>265</v>
      </c>
      <c r="BK9" s="3">
        <f t="shared" si="1"/>
        <v>269</v>
      </c>
      <c r="BL9" s="3">
        <f t="shared" si="1"/>
        <v>273</v>
      </c>
      <c r="BM9" s="3">
        <f t="shared" si="1"/>
        <v>277</v>
      </c>
      <c r="BN9" s="3">
        <f t="shared" si="1"/>
        <v>281</v>
      </c>
      <c r="BO9" s="3">
        <f t="shared" ref="BO9:BT9" si="2">$B9+4*BO1</f>
        <v>285</v>
      </c>
      <c r="BP9" s="3">
        <f t="shared" si="2"/>
        <v>289</v>
      </c>
      <c r="BQ9" s="3">
        <f t="shared" si="2"/>
        <v>293</v>
      </c>
      <c r="BR9" s="3">
        <f t="shared" si="2"/>
        <v>297</v>
      </c>
      <c r="BS9" s="3">
        <f t="shared" si="2"/>
        <v>301</v>
      </c>
      <c r="BT9" s="3">
        <f t="shared" si="2"/>
        <v>305</v>
      </c>
    </row>
    <row r="10" spans="1:72" x14ac:dyDescent="0.2">
      <c r="A10" t="s">
        <v>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>
        <v>146</v>
      </c>
      <c r="O10" s="3"/>
      <c r="P10" s="3"/>
      <c r="Q10" s="3"/>
      <c r="R10" s="3"/>
      <c r="S10" s="3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72" x14ac:dyDescent="0.2">
      <c r="A11" t="s">
        <v>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U11" t="s">
        <v>10</v>
      </c>
      <c r="AZ11">
        <v>198</v>
      </c>
      <c r="BB11">
        <v>205</v>
      </c>
    </row>
    <row r="12" spans="1:72" x14ac:dyDescent="0.2">
      <c r="A12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>
        <v>1664</v>
      </c>
      <c r="BE12">
        <v>1591</v>
      </c>
      <c r="BG12" t="s">
        <v>12</v>
      </c>
    </row>
    <row r="13" spans="1:72" x14ac:dyDescent="0.2">
      <c r="A13" t="s">
        <v>13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>
        <v>2592</v>
      </c>
    </row>
    <row r="14" spans="1:72" x14ac:dyDescent="0.2">
      <c r="A14" t="s">
        <v>14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BF14">
        <v>3888</v>
      </c>
      <c r="BJ14">
        <v>3787</v>
      </c>
      <c r="BM14">
        <v>3908</v>
      </c>
      <c r="BR14" t="s">
        <v>15</v>
      </c>
    </row>
    <row r="15" spans="1:72" x14ac:dyDescent="0.2">
      <c r="A15" t="s">
        <v>16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BB15">
        <v>7254</v>
      </c>
      <c r="BF15">
        <v>7533</v>
      </c>
      <c r="BJ15">
        <v>7905</v>
      </c>
      <c r="BR15" t="s">
        <v>15</v>
      </c>
    </row>
    <row r="16" spans="1:72" x14ac:dyDescent="0.2">
      <c r="A16" t="s">
        <v>17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BJ16">
        <v>9860</v>
      </c>
      <c r="BR16">
        <v>29625</v>
      </c>
    </row>
    <row r="17" spans="1:66" x14ac:dyDescent="0.2">
      <c r="A17" t="s">
        <v>18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BJ17">
        <v>756</v>
      </c>
    </row>
    <row r="18" spans="1:66" x14ac:dyDescent="0.2">
      <c r="A18" t="s">
        <v>19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BH18">
        <v>335</v>
      </c>
      <c r="BJ18">
        <v>756</v>
      </c>
    </row>
    <row r="19" spans="1:66" x14ac:dyDescent="0.2">
      <c r="A19" t="s">
        <v>20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BM19">
        <v>404</v>
      </c>
      <c r="BN19">
        <v>409</v>
      </c>
    </row>
    <row r="20" spans="1:66" x14ac:dyDescent="0.2">
      <c r="A20" t="s">
        <v>21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BH20">
        <v>9462</v>
      </c>
    </row>
    <row r="21" spans="1:66" x14ac:dyDescent="0.2">
      <c r="A21" t="s">
        <v>22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J21">
        <v>2736</v>
      </c>
    </row>
    <row r="22" spans="1:66" x14ac:dyDescent="0.2">
      <c r="A22" t="s">
        <v>23</v>
      </c>
      <c r="AF22">
        <v>246</v>
      </c>
    </row>
    <row r="23" spans="1:66" x14ac:dyDescent="0.2">
      <c r="A23" t="s">
        <v>24</v>
      </c>
      <c r="BH23">
        <v>9296</v>
      </c>
    </row>
    <row r="24" spans="1:66" x14ac:dyDescent="0.2">
      <c r="A24" t="s">
        <v>25</v>
      </c>
      <c r="BF24" t="s">
        <v>26</v>
      </c>
      <c r="BG24" t="s">
        <v>27</v>
      </c>
      <c r="BH24">
        <v>4249</v>
      </c>
    </row>
    <row r="25" spans="1:66" x14ac:dyDescent="0.2">
      <c r="A25" t="s">
        <v>28</v>
      </c>
      <c r="BH25">
        <v>8831</v>
      </c>
    </row>
    <row r="26" spans="1:66" x14ac:dyDescent="0.2">
      <c r="A26" t="s">
        <v>29</v>
      </c>
      <c r="BJ26">
        <v>9860</v>
      </c>
      <c r="BM26">
        <v>10208</v>
      </c>
    </row>
    <row r="27" spans="1:66" x14ac:dyDescent="0.2">
      <c r="A27" t="s">
        <v>30</v>
      </c>
      <c r="BG27" t="s">
        <v>31</v>
      </c>
      <c r="BM27">
        <v>775</v>
      </c>
    </row>
    <row r="28" spans="1:66" x14ac:dyDescent="0.2">
      <c r="A28" t="s">
        <v>32</v>
      </c>
      <c r="BG28" t="s">
        <v>33</v>
      </c>
      <c r="BJ28">
        <v>3783</v>
      </c>
      <c r="BM28">
        <v>5632</v>
      </c>
    </row>
    <row r="29" spans="1:66" x14ac:dyDescent="0.2">
      <c r="A29" t="s">
        <v>34</v>
      </c>
      <c r="BM29">
        <v>1408</v>
      </c>
    </row>
    <row r="30" spans="1:66" x14ac:dyDescent="0.2">
      <c r="A30" t="s">
        <v>35</v>
      </c>
      <c r="AD30">
        <v>126</v>
      </c>
      <c r="AE30">
        <v>129</v>
      </c>
      <c r="AF30">
        <v>133</v>
      </c>
      <c r="AR30">
        <v>177</v>
      </c>
    </row>
    <row r="31" spans="1:66" x14ac:dyDescent="0.2">
      <c r="A31" t="s">
        <v>36</v>
      </c>
      <c r="AF31">
        <v>133</v>
      </c>
      <c r="AK31">
        <v>151</v>
      </c>
    </row>
    <row r="32" spans="1:66" x14ac:dyDescent="0.2">
      <c r="A32" t="s">
        <v>37</v>
      </c>
      <c r="AK32">
        <v>171</v>
      </c>
    </row>
    <row r="33" spans="1:72" x14ac:dyDescent="0.2">
      <c r="A33" t="s">
        <v>38</v>
      </c>
      <c r="W33">
        <v>87</v>
      </c>
      <c r="AE33">
        <v>112</v>
      </c>
      <c r="AP33" s="6">
        <v>148</v>
      </c>
      <c r="AQ33">
        <v>151</v>
      </c>
      <c r="AR33">
        <v>154</v>
      </c>
      <c r="AS33">
        <v>157</v>
      </c>
    </row>
    <row r="34" spans="1:72" x14ac:dyDescent="0.2">
      <c r="A34" t="s">
        <v>39</v>
      </c>
      <c r="W34">
        <v>113</v>
      </c>
      <c r="Y34" t="s">
        <v>40</v>
      </c>
      <c r="AA34">
        <v>130</v>
      </c>
      <c r="AB34" s="6">
        <v>134</v>
      </c>
      <c r="AC34" s="6">
        <v>138</v>
      </c>
      <c r="AD34">
        <v>142</v>
      </c>
      <c r="AS34" s="5">
        <v>200</v>
      </c>
      <c r="AT34" s="5">
        <v>204</v>
      </c>
      <c r="AU34" s="5">
        <v>208</v>
      </c>
      <c r="AV34" s="5">
        <v>212</v>
      </c>
      <c r="AW34" s="6">
        <v>217</v>
      </c>
      <c r="AX34" s="6">
        <v>222</v>
      </c>
      <c r="AY34" s="6">
        <v>227</v>
      </c>
      <c r="AZ34" s="6">
        <v>232</v>
      </c>
      <c r="BA34" s="6">
        <v>237</v>
      </c>
      <c r="BB34">
        <v>242</v>
      </c>
      <c r="BF34">
        <v>258</v>
      </c>
      <c r="BG34">
        <v>263</v>
      </c>
      <c r="BJ34" s="6">
        <v>275</v>
      </c>
    </row>
    <row r="35" spans="1:72" x14ac:dyDescent="0.2">
      <c r="A35" t="s">
        <v>41</v>
      </c>
      <c r="B35">
        <v>50</v>
      </c>
      <c r="C35">
        <f t="shared" ref="C35:AH35" si="3">$B35+4*C1</f>
        <v>54</v>
      </c>
      <c r="D35">
        <f t="shared" si="3"/>
        <v>58</v>
      </c>
      <c r="E35">
        <f t="shared" si="3"/>
        <v>62</v>
      </c>
      <c r="F35">
        <f t="shared" si="3"/>
        <v>66</v>
      </c>
      <c r="G35">
        <f t="shared" si="3"/>
        <v>70</v>
      </c>
      <c r="H35">
        <f t="shared" si="3"/>
        <v>74</v>
      </c>
      <c r="I35">
        <f t="shared" si="3"/>
        <v>78</v>
      </c>
      <c r="J35">
        <f t="shared" si="3"/>
        <v>82</v>
      </c>
      <c r="K35">
        <f t="shared" si="3"/>
        <v>86</v>
      </c>
      <c r="L35">
        <f t="shared" si="3"/>
        <v>90</v>
      </c>
      <c r="M35">
        <f t="shared" si="3"/>
        <v>94</v>
      </c>
      <c r="N35">
        <f t="shared" si="3"/>
        <v>98</v>
      </c>
      <c r="O35">
        <f t="shared" si="3"/>
        <v>102</v>
      </c>
      <c r="P35">
        <f t="shared" si="3"/>
        <v>106</v>
      </c>
      <c r="Q35">
        <f t="shared" si="3"/>
        <v>110</v>
      </c>
      <c r="R35">
        <f t="shared" si="3"/>
        <v>114</v>
      </c>
      <c r="S35">
        <f t="shared" si="3"/>
        <v>118</v>
      </c>
      <c r="T35">
        <f t="shared" si="3"/>
        <v>122</v>
      </c>
      <c r="U35">
        <f t="shared" si="3"/>
        <v>126</v>
      </c>
      <c r="V35">
        <f t="shared" si="3"/>
        <v>130</v>
      </c>
      <c r="W35">
        <f t="shared" si="3"/>
        <v>134</v>
      </c>
      <c r="X35">
        <f t="shared" si="3"/>
        <v>138</v>
      </c>
      <c r="Y35">
        <f t="shared" si="3"/>
        <v>142</v>
      </c>
      <c r="Z35">
        <f t="shared" si="3"/>
        <v>146</v>
      </c>
      <c r="AA35">
        <f t="shared" si="3"/>
        <v>150</v>
      </c>
      <c r="AB35">
        <f t="shared" si="3"/>
        <v>154</v>
      </c>
      <c r="AC35">
        <f t="shared" si="3"/>
        <v>158</v>
      </c>
      <c r="AD35">
        <f t="shared" si="3"/>
        <v>162</v>
      </c>
      <c r="AE35">
        <f t="shared" si="3"/>
        <v>166</v>
      </c>
      <c r="AF35">
        <f t="shared" si="3"/>
        <v>170</v>
      </c>
      <c r="AG35">
        <f t="shared" si="3"/>
        <v>174</v>
      </c>
      <c r="AH35">
        <f t="shared" si="3"/>
        <v>178</v>
      </c>
      <c r="AI35">
        <f t="shared" ref="AI35:BN35" si="4">$B35+4*AI1</f>
        <v>182</v>
      </c>
      <c r="AJ35">
        <f t="shared" si="4"/>
        <v>186</v>
      </c>
      <c r="AK35">
        <f t="shared" si="4"/>
        <v>190</v>
      </c>
      <c r="AL35">
        <f t="shared" si="4"/>
        <v>194</v>
      </c>
      <c r="AM35">
        <f t="shared" si="4"/>
        <v>198</v>
      </c>
      <c r="AN35">
        <f t="shared" si="4"/>
        <v>202</v>
      </c>
      <c r="AO35">
        <f t="shared" si="4"/>
        <v>206</v>
      </c>
      <c r="AP35">
        <f t="shared" si="4"/>
        <v>210</v>
      </c>
      <c r="AQ35">
        <f t="shared" si="4"/>
        <v>214</v>
      </c>
      <c r="AR35">
        <f t="shared" si="4"/>
        <v>218</v>
      </c>
      <c r="AS35">
        <f t="shared" si="4"/>
        <v>222</v>
      </c>
      <c r="AT35">
        <f t="shared" si="4"/>
        <v>226</v>
      </c>
      <c r="AU35">
        <f t="shared" si="4"/>
        <v>230</v>
      </c>
      <c r="AV35">
        <f t="shared" si="4"/>
        <v>234</v>
      </c>
      <c r="AW35">
        <f t="shared" si="4"/>
        <v>238</v>
      </c>
      <c r="AX35">
        <f t="shared" si="4"/>
        <v>242</v>
      </c>
      <c r="AY35">
        <f t="shared" si="4"/>
        <v>246</v>
      </c>
      <c r="AZ35">
        <f t="shared" si="4"/>
        <v>250</v>
      </c>
      <c r="BA35">
        <f t="shared" si="4"/>
        <v>254</v>
      </c>
      <c r="BB35">
        <f t="shared" si="4"/>
        <v>258</v>
      </c>
      <c r="BC35">
        <f t="shared" si="4"/>
        <v>262</v>
      </c>
      <c r="BD35">
        <f t="shared" si="4"/>
        <v>266</v>
      </c>
      <c r="BE35">
        <f t="shared" si="4"/>
        <v>270</v>
      </c>
      <c r="BF35">
        <f t="shared" si="4"/>
        <v>274</v>
      </c>
      <c r="BG35">
        <f t="shared" si="4"/>
        <v>278</v>
      </c>
      <c r="BH35">
        <f t="shared" si="4"/>
        <v>282</v>
      </c>
      <c r="BI35">
        <f t="shared" si="4"/>
        <v>286</v>
      </c>
      <c r="BJ35">
        <f t="shared" si="4"/>
        <v>290</v>
      </c>
      <c r="BK35">
        <f t="shared" si="4"/>
        <v>294</v>
      </c>
      <c r="BL35">
        <f t="shared" si="4"/>
        <v>298</v>
      </c>
      <c r="BM35">
        <f t="shared" si="4"/>
        <v>302</v>
      </c>
      <c r="BN35">
        <f t="shared" si="4"/>
        <v>306</v>
      </c>
      <c r="BO35">
        <f t="shared" ref="BO35:BT35" si="5">$B35+4*BO1</f>
        <v>310</v>
      </c>
      <c r="BP35">
        <f t="shared" si="5"/>
        <v>314</v>
      </c>
      <c r="BQ35">
        <f t="shared" si="5"/>
        <v>318</v>
      </c>
      <c r="BR35">
        <f t="shared" si="5"/>
        <v>322</v>
      </c>
      <c r="BS35">
        <f t="shared" si="5"/>
        <v>326</v>
      </c>
      <c r="BT35">
        <f t="shared" si="5"/>
        <v>330</v>
      </c>
    </row>
    <row r="36" spans="1:72" x14ac:dyDescent="0.2">
      <c r="A36" t="s">
        <v>42</v>
      </c>
      <c r="AU36" s="6">
        <v>236</v>
      </c>
      <c r="AX36">
        <v>248</v>
      </c>
      <c r="BF36">
        <v>279</v>
      </c>
    </row>
    <row r="37" spans="1:72" x14ac:dyDescent="0.2">
      <c r="A37" t="s">
        <v>43</v>
      </c>
      <c r="BF37">
        <v>243</v>
      </c>
      <c r="BG37">
        <v>246</v>
      </c>
    </row>
    <row r="38" spans="1:72" x14ac:dyDescent="0.2">
      <c r="A38" t="s">
        <v>44</v>
      </c>
      <c r="BG38">
        <v>5775</v>
      </c>
    </row>
    <row r="39" spans="1:72" x14ac:dyDescent="0.2">
      <c r="A39" t="s">
        <v>45</v>
      </c>
      <c r="AS39">
        <v>4882</v>
      </c>
      <c r="BE39" t="s">
        <v>46</v>
      </c>
      <c r="BF39">
        <v>5890</v>
      </c>
    </row>
    <row r="40" spans="1:72" x14ac:dyDescent="0.2">
      <c r="A40" t="s">
        <v>47</v>
      </c>
      <c r="BI40">
        <v>5376</v>
      </c>
    </row>
    <row r="41" spans="1:72" x14ac:dyDescent="0.2">
      <c r="A41" t="s">
        <v>48</v>
      </c>
      <c r="BI41">
        <v>5241</v>
      </c>
    </row>
    <row r="42" spans="1:72" x14ac:dyDescent="0.2">
      <c r="A42" t="s">
        <v>49</v>
      </c>
      <c r="BJ42">
        <v>7360</v>
      </c>
    </row>
    <row r="43" spans="1:72" x14ac:dyDescent="0.2">
      <c r="A43" t="s">
        <v>50</v>
      </c>
      <c r="AS43" t="s">
        <v>51</v>
      </c>
      <c r="AU43">
        <v>238</v>
      </c>
      <c r="AY43" t="s">
        <v>52</v>
      </c>
      <c r="BF43" t="s">
        <v>53</v>
      </c>
      <c r="BG43">
        <v>344</v>
      </c>
    </row>
    <row r="44" spans="1:72" x14ac:dyDescent="0.2">
      <c r="A44" t="s">
        <v>54</v>
      </c>
      <c r="AY44">
        <v>251</v>
      </c>
      <c r="BF44">
        <v>340</v>
      </c>
    </row>
    <row r="45" spans="1:72" x14ac:dyDescent="0.2">
      <c r="A45" t="s">
        <v>55</v>
      </c>
      <c r="BJ45">
        <v>8500</v>
      </c>
    </row>
    <row r="46" spans="1:72" x14ac:dyDescent="0.2">
      <c r="A46" t="s">
        <v>56</v>
      </c>
      <c r="BF46">
        <v>262</v>
      </c>
    </row>
    <row r="47" spans="1:72" x14ac:dyDescent="0.2">
      <c r="A47" t="s">
        <v>57</v>
      </c>
      <c r="BO47">
        <v>720</v>
      </c>
    </row>
    <row r="48" spans="1:72" x14ac:dyDescent="0.2">
      <c r="A48" t="s">
        <v>58</v>
      </c>
      <c r="AZ48" t="s">
        <v>59</v>
      </c>
      <c r="BA48" t="s">
        <v>59</v>
      </c>
      <c r="BB48">
        <v>369</v>
      </c>
      <c r="BC48">
        <v>374</v>
      </c>
      <c r="BG48">
        <v>393</v>
      </c>
    </row>
    <row r="49" spans="1:60" x14ac:dyDescent="0.2">
      <c r="A49" t="s">
        <v>60</v>
      </c>
      <c r="AY49">
        <v>236</v>
      </c>
      <c r="BC49">
        <v>250</v>
      </c>
    </row>
    <row r="50" spans="1:60" x14ac:dyDescent="0.2">
      <c r="A50" t="s">
        <v>61</v>
      </c>
      <c r="AY50">
        <v>244</v>
      </c>
    </row>
    <row r="51" spans="1:60" x14ac:dyDescent="0.2">
      <c r="A51" t="s">
        <v>62</v>
      </c>
      <c r="BC51">
        <v>255</v>
      </c>
      <c r="BE51">
        <v>262</v>
      </c>
    </row>
    <row r="52" spans="1:60" x14ac:dyDescent="0.2">
      <c r="A52" t="s">
        <v>63</v>
      </c>
      <c r="AZ52">
        <v>252</v>
      </c>
      <c r="BC52">
        <v>262</v>
      </c>
    </row>
    <row r="53" spans="1:60" x14ac:dyDescent="0.2">
      <c r="A53" t="s">
        <v>64</v>
      </c>
      <c r="AZ53">
        <v>262</v>
      </c>
      <c r="BA53">
        <v>266</v>
      </c>
      <c r="BB53">
        <v>270</v>
      </c>
      <c r="BC53">
        <v>273</v>
      </c>
      <c r="BE53">
        <v>281</v>
      </c>
    </row>
    <row r="54" spans="1:60" x14ac:dyDescent="0.2">
      <c r="A54" t="s">
        <v>65</v>
      </c>
      <c r="BF54">
        <v>5054</v>
      </c>
    </row>
    <row r="55" spans="1:60" x14ac:dyDescent="0.2">
      <c r="A55" t="s">
        <v>66</v>
      </c>
      <c r="BH55">
        <v>8831</v>
      </c>
    </row>
    <row r="56" spans="1:60" x14ac:dyDescent="0.2">
      <c r="A56" t="s">
        <v>67</v>
      </c>
      <c r="BB56">
        <v>3914</v>
      </c>
    </row>
    <row r="57" spans="1:60" x14ac:dyDescent="0.2">
      <c r="A57" t="s">
        <v>68</v>
      </c>
      <c r="AN57">
        <v>141</v>
      </c>
    </row>
    <row r="58" spans="1:60" x14ac:dyDescent="0.2">
      <c r="A58" t="s">
        <v>69</v>
      </c>
      <c r="E58">
        <v>3</v>
      </c>
    </row>
    <row r="59" spans="1:60" x14ac:dyDescent="0.2">
      <c r="A59" t="s">
        <v>70</v>
      </c>
      <c r="L59">
        <v>4</v>
      </c>
    </row>
    <row r="60" spans="1:60" x14ac:dyDescent="0.2">
      <c r="A60" t="s">
        <v>71</v>
      </c>
      <c r="K60">
        <v>29</v>
      </c>
      <c r="L60">
        <v>30</v>
      </c>
      <c r="O60">
        <v>33</v>
      </c>
    </row>
    <row r="61" spans="1:60" x14ac:dyDescent="0.2">
      <c r="A61" t="s">
        <v>72</v>
      </c>
      <c r="D61">
        <v>6</v>
      </c>
    </row>
    <row r="62" spans="1:60" x14ac:dyDescent="0.2">
      <c r="A62" t="s">
        <v>73</v>
      </c>
      <c r="AE62">
        <v>86</v>
      </c>
      <c r="AF62">
        <v>88</v>
      </c>
      <c r="BB62">
        <v>123</v>
      </c>
      <c r="BC62">
        <v>124</v>
      </c>
    </row>
    <row r="63" spans="1:60" x14ac:dyDescent="0.2">
      <c r="A63" t="s">
        <v>74</v>
      </c>
      <c r="AU63">
        <v>222</v>
      </c>
      <c r="AV63">
        <v>225</v>
      </c>
      <c r="AW63" s="6">
        <v>228</v>
      </c>
      <c r="AX63">
        <v>232</v>
      </c>
      <c r="AY63">
        <v>236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192D1-F33E-4811-9E33-E6AA33707C34}">
  <dimension ref="A1:BT9"/>
  <sheetViews>
    <sheetView workbookViewId="0">
      <pane xSplit="1" ySplit="1" topLeftCell="D2" activePane="bottomRight" state="frozen"/>
      <selection pane="topRight" activeCell="D1" sqref="D1"/>
      <selection pane="bottomLeft" activeCell="A2" sqref="A2"/>
      <selection pane="bottomRight" activeCell="AH8" sqref="AH8"/>
    </sheetView>
  </sheetViews>
  <sheetFormatPr defaultColWidth="11.5" defaultRowHeight="12.9" x14ac:dyDescent="0.2"/>
  <cols>
    <col min="1" max="1" width="19.25" customWidth="1"/>
    <col min="2" max="72" width="6.375" customWidth="1"/>
  </cols>
  <sheetData>
    <row r="1" spans="1:72" x14ac:dyDescent="0.2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</row>
    <row r="2" spans="1:72" x14ac:dyDescent="0.2">
      <c r="A2" t="s">
        <v>75</v>
      </c>
      <c r="K2" s="5">
        <v>45</v>
      </c>
      <c r="L2" s="5">
        <v>48</v>
      </c>
      <c r="M2">
        <v>51</v>
      </c>
      <c r="O2">
        <v>56</v>
      </c>
      <c r="P2" s="5">
        <v>58</v>
      </c>
      <c r="Q2" s="6">
        <v>61</v>
      </c>
      <c r="T2" s="6">
        <v>70</v>
      </c>
      <c r="U2">
        <v>72</v>
      </c>
      <c r="AG2">
        <v>103</v>
      </c>
    </row>
    <row r="3" spans="1:72" x14ac:dyDescent="0.2">
      <c r="K3" s="7">
        <v>91</v>
      </c>
      <c r="O3" s="8">
        <v>57</v>
      </c>
    </row>
    <row r="4" spans="1:72" x14ac:dyDescent="0.2">
      <c r="A4" t="s">
        <v>76</v>
      </c>
      <c r="AI4" s="5">
        <v>167</v>
      </c>
      <c r="AJ4">
        <v>170</v>
      </c>
      <c r="AN4">
        <v>183</v>
      </c>
      <c r="AP4">
        <v>190</v>
      </c>
      <c r="AU4">
        <v>207</v>
      </c>
      <c r="BJ4" s="6">
        <v>257</v>
      </c>
    </row>
    <row r="5" spans="1:72" x14ac:dyDescent="0.2">
      <c r="A5" t="s">
        <v>77</v>
      </c>
      <c r="K5">
        <v>84</v>
      </c>
      <c r="L5" s="6">
        <v>87</v>
      </c>
      <c r="M5">
        <v>90</v>
      </c>
      <c r="N5" s="6">
        <v>94</v>
      </c>
      <c r="O5" s="6">
        <v>98</v>
      </c>
      <c r="P5" s="5">
        <v>101</v>
      </c>
      <c r="Q5" s="5">
        <v>104</v>
      </c>
      <c r="S5">
        <v>111</v>
      </c>
      <c r="W5">
        <v>124</v>
      </c>
      <c r="AI5" s="5">
        <v>163</v>
      </c>
    </row>
    <row r="6" spans="1:72" x14ac:dyDescent="0.2">
      <c r="A6" t="s">
        <v>23</v>
      </c>
      <c r="AF6" s="5">
        <v>246</v>
      </c>
    </row>
    <row r="7" spans="1:72" x14ac:dyDescent="0.2">
      <c r="A7" t="s">
        <v>78</v>
      </c>
      <c r="AB7">
        <v>132</v>
      </c>
      <c r="AD7">
        <v>140</v>
      </c>
      <c r="AE7">
        <v>144</v>
      </c>
      <c r="AF7">
        <v>148</v>
      </c>
      <c r="AZ7">
        <v>222</v>
      </c>
      <c r="BB7" s="5">
        <v>229</v>
      </c>
    </row>
    <row r="8" spans="1:72" x14ac:dyDescent="0.2">
      <c r="A8" t="s">
        <v>79</v>
      </c>
      <c r="AB8">
        <v>165</v>
      </c>
      <c r="AH8">
        <v>189</v>
      </c>
      <c r="AI8" s="6">
        <v>193</v>
      </c>
      <c r="AJ8" s="6">
        <v>197</v>
      </c>
      <c r="AK8">
        <v>201</v>
      </c>
      <c r="AN8" s="6">
        <v>213</v>
      </c>
      <c r="AQ8" s="6">
        <v>225</v>
      </c>
      <c r="AT8" s="6">
        <v>237</v>
      </c>
      <c r="AW8" s="6">
        <v>249</v>
      </c>
      <c r="AZ8" s="6">
        <v>261</v>
      </c>
    </row>
    <row r="9" spans="1:72" x14ac:dyDescent="0.2">
      <c r="A9" t="s">
        <v>68</v>
      </c>
      <c r="W9">
        <v>96</v>
      </c>
      <c r="AA9" s="6">
        <v>107</v>
      </c>
      <c r="AC9">
        <v>112</v>
      </c>
      <c r="AD9">
        <v>115</v>
      </c>
      <c r="AF9">
        <v>120</v>
      </c>
      <c r="AG9" s="6">
        <v>123</v>
      </c>
      <c r="AN9">
        <v>141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 alignWithMargins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8CB3-DBFB-4AC7-ABD0-8C027C03A798}">
  <dimension ref="A1:BT37"/>
  <sheetViews>
    <sheetView workbookViewId="0">
      <pane xSplit="1" topLeftCell="B1" activePane="topRight" state="frozen"/>
      <selection pane="topRight" activeCell="C18" sqref="C18"/>
    </sheetView>
  </sheetViews>
  <sheetFormatPr defaultColWidth="11.5" defaultRowHeight="12.9" x14ac:dyDescent="0.2"/>
  <cols>
    <col min="1" max="1" width="18.875" customWidth="1"/>
    <col min="2" max="72" width="6.125" customWidth="1"/>
  </cols>
  <sheetData>
    <row r="1" spans="1:72" x14ac:dyDescent="0.2">
      <c r="B1" s="9">
        <v>0</v>
      </c>
      <c r="C1" s="9">
        <v>1</v>
      </c>
      <c r="D1" s="9">
        <v>2</v>
      </c>
      <c r="E1" s="9">
        <v>3</v>
      </c>
      <c r="F1" s="9">
        <v>4</v>
      </c>
      <c r="G1" s="9">
        <v>5</v>
      </c>
      <c r="H1" s="9">
        <v>6</v>
      </c>
      <c r="I1" s="9">
        <v>7</v>
      </c>
      <c r="J1" s="9">
        <v>8</v>
      </c>
      <c r="K1" s="9">
        <v>9</v>
      </c>
      <c r="L1" s="9">
        <v>10</v>
      </c>
      <c r="M1" s="9">
        <v>11</v>
      </c>
      <c r="N1" s="9">
        <v>12</v>
      </c>
      <c r="O1" s="9">
        <v>13</v>
      </c>
      <c r="P1" s="9">
        <v>14</v>
      </c>
      <c r="Q1" s="9">
        <v>15</v>
      </c>
      <c r="R1" s="9">
        <v>16</v>
      </c>
      <c r="S1" s="9">
        <v>17</v>
      </c>
      <c r="T1" s="9">
        <v>18</v>
      </c>
      <c r="U1" s="9">
        <v>19</v>
      </c>
      <c r="V1" s="9">
        <v>20</v>
      </c>
      <c r="W1" s="9">
        <v>21</v>
      </c>
      <c r="X1" s="9">
        <v>22</v>
      </c>
      <c r="Y1" s="9">
        <v>23</v>
      </c>
      <c r="Z1" s="9">
        <v>24</v>
      </c>
      <c r="AA1" s="9">
        <v>25</v>
      </c>
      <c r="AB1" s="9">
        <v>26</v>
      </c>
      <c r="AC1" s="9">
        <v>27</v>
      </c>
      <c r="AD1" s="9">
        <v>28</v>
      </c>
      <c r="AE1" s="9">
        <v>29</v>
      </c>
      <c r="AF1" s="9">
        <v>30</v>
      </c>
      <c r="AG1" s="9">
        <v>31</v>
      </c>
      <c r="AH1" s="9">
        <v>32</v>
      </c>
      <c r="AI1" s="9">
        <v>33</v>
      </c>
      <c r="AJ1" s="9">
        <v>34</v>
      </c>
      <c r="AK1" s="9">
        <v>35</v>
      </c>
      <c r="AL1" s="9">
        <v>36</v>
      </c>
      <c r="AM1" s="9">
        <v>37</v>
      </c>
      <c r="AN1" s="9">
        <v>38</v>
      </c>
      <c r="AO1" s="9">
        <v>39</v>
      </c>
      <c r="AP1" s="9">
        <v>40</v>
      </c>
      <c r="AQ1" s="9">
        <v>41</v>
      </c>
      <c r="AR1" s="9">
        <v>42</v>
      </c>
      <c r="AS1" s="9">
        <v>43</v>
      </c>
      <c r="AT1" s="9">
        <v>44</v>
      </c>
      <c r="AU1" s="9">
        <v>45</v>
      </c>
      <c r="AV1" s="9">
        <v>46</v>
      </c>
      <c r="AW1" s="9">
        <v>47</v>
      </c>
      <c r="AX1" s="9">
        <v>48</v>
      </c>
      <c r="AY1" s="9">
        <v>49</v>
      </c>
      <c r="AZ1" s="9">
        <v>50</v>
      </c>
      <c r="BA1" s="9">
        <v>51</v>
      </c>
      <c r="BB1" s="9">
        <v>52</v>
      </c>
      <c r="BC1" s="9">
        <v>53</v>
      </c>
      <c r="BD1" s="9">
        <v>54</v>
      </c>
      <c r="BE1" s="9">
        <v>55</v>
      </c>
      <c r="BF1" s="9">
        <v>56</v>
      </c>
      <c r="BG1" s="9">
        <v>57</v>
      </c>
      <c r="BH1" s="9">
        <v>58</v>
      </c>
      <c r="BI1" s="9">
        <v>59</v>
      </c>
      <c r="BJ1" s="9">
        <v>60</v>
      </c>
      <c r="BK1" s="9">
        <v>61</v>
      </c>
      <c r="BL1" s="9">
        <v>62</v>
      </c>
      <c r="BM1" s="9">
        <v>63</v>
      </c>
      <c r="BN1" s="9">
        <v>64</v>
      </c>
      <c r="BO1" s="9">
        <v>65</v>
      </c>
      <c r="BP1" s="9">
        <v>66</v>
      </c>
      <c r="BQ1" s="9">
        <v>67</v>
      </c>
      <c r="BR1" s="9">
        <v>68</v>
      </c>
      <c r="BS1" s="9">
        <v>69</v>
      </c>
      <c r="BT1" s="9">
        <v>70</v>
      </c>
    </row>
    <row r="2" spans="1:72" x14ac:dyDescent="0.2">
      <c r="A2" t="s">
        <v>21</v>
      </c>
      <c r="B2">
        <v>2850</v>
      </c>
      <c r="C2">
        <f t="shared" ref="C2:AH2" si="0">$B2+114*C1</f>
        <v>2964</v>
      </c>
      <c r="D2">
        <f t="shared" si="0"/>
        <v>3078</v>
      </c>
      <c r="E2">
        <f t="shared" si="0"/>
        <v>3192</v>
      </c>
      <c r="F2">
        <f t="shared" si="0"/>
        <v>3306</v>
      </c>
      <c r="G2">
        <f t="shared" si="0"/>
        <v>3420</v>
      </c>
      <c r="H2">
        <f t="shared" si="0"/>
        <v>3534</v>
      </c>
      <c r="I2">
        <f t="shared" si="0"/>
        <v>3648</v>
      </c>
      <c r="J2">
        <f t="shared" si="0"/>
        <v>3762</v>
      </c>
      <c r="K2">
        <f t="shared" si="0"/>
        <v>3876</v>
      </c>
      <c r="L2">
        <f t="shared" si="0"/>
        <v>3990</v>
      </c>
      <c r="M2">
        <f t="shared" si="0"/>
        <v>4104</v>
      </c>
      <c r="N2">
        <f t="shared" si="0"/>
        <v>4218</v>
      </c>
      <c r="O2">
        <f t="shared" si="0"/>
        <v>4332</v>
      </c>
      <c r="P2">
        <f t="shared" si="0"/>
        <v>4446</v>
      </c>
      <c r="Q2">
        <f t="shared" si="0"/>
        <v>4560</v>
      </c>
      <c r="R2">
        <f t="shared" si="0"/>
        <v>4674</v>
      </c>
      <c r="S2">
        <f t="shared" si="0"/>
        <v>4788</v>
      </c>
      <c r="T2">
        <f t="shared" si="0"/>
        <v>4902</v>
      </c>
      <c r="U2">
        <f t="shared" si="0"/>
        <v>5016</v>
      </c>
      <c r="V2">
        <f t="shared" si="0"/>
        <v>5130</v>
      </c>
      <c r="W2">
        <f t="shared" si="0"/>
        <v>5244</v>
      </c>
      <c r="X2">
        <f t="shared" si="0"/>
        <v>5358</v>
      </c>
      <c r="Y2">
        <f t="shared" si="0"/>
        <v>5472</v>
      </c>
      <c r="Z2">
        <f t="shared" si="0"/>
        <v>5586</v>
      </c>
      <c r="AA2">
        <f t="shared" si="0"/>
        <v>5700</v>
      </c>
      <c r="AB2">
        <f t="shared" si="0"/>
        <v>5814</v>
      </c>
      <c r="AC2">
        <f t="shared" si="0"/>
        <v>5928</v>
      </c>
      <c r="AD2">
        <f t="shared" si="0"/>
        <v>6042</v>
      </c>
      <c r="AE2">
        <f t="shared" si="0"/>
        <v>6156</v>
      </c>
      <c r="AF2">
        <f t="shared" si="0"/>
        <v>6270</v>
      </c>
      <c r="AG2">
        <f t="shared" si="0"/>
        <v>6384</v>
      </c>
      <c r="AH2">
        <f t="shared" si="0"/>
        <v>6498</v>
      </c>
      <c r="AI2">
        <f t="shared" ref="AI2:BN2" si="1">$B2+114*AI1</f>
        <v>6612</v>
      </c>
      <c r="AJ2">
        <f t="shared" si="1"/>
        <v>6726</v>
      </c>
      <c r="AK2">
        <f t="shared" si="1"/>
        <v>6840</v>
      </c>
      <c r="AL2">
        <f t="shared" si="1"/>
        <v>6954</v>
      </c>
      <c r="AM2">
        <f t="shared" si="1"/>
        <v>7068</v>
      </c>
      <c r="AN2">
        <f t="shared" si="1"/>
        <v>7182</v>
      </c>
      <c r="AO2">
        <f t="shared" si="1"/>
        <v>7296</v>
      </c>
      <c r="AP2">
        <f t="shared" si="1"/>
        <v>7410</v>
      </c>
      <c r="AQ2">
        <f t="shared" si="1"/>
        <v>7524</v>
      </c>
      <c r="AR2">
        <f t="shared" si="1"/>
        <v>7638</v>
      </c>
      <c r="AS2">
        <f t="shared" si="1"/>
        <v>7752</v>
      </c>
      <c r="AT2">
        <f t="shared" si="1"/>
        <v>7866</v>
      </c>
      <c r="AU2">
        <f t="shared" si="1"/>
        <v>7980</v>
      </c>
      <c r="AV2">
        <f t="shared" si="1"/>
        <v>8094</v>
      </c>
      <c r="AW2">
        <f t="shared" si="1"/>
        <v>8208</v>
      </c>
      <c r="AX2">
        <f t="shared" si="1"/>
        <v>8322</v>
      </c>
      <c r="AY2">
        <f t="shared" si="1"/>
        <v>8436</v>
      </c>
      <c r="AZ2">
        <f t="shared" si="1"/>
        <v>8550</v>
      </c>
      <c r="BA2">
        <f t="shared" si="1"/>
        <v>8664</v>
      </c>
      <c r="BB2">
        <f t="shared" si="1"/>
        <v>8778</v>
      </c>
      <c r="BC2">
        <f t="shared" si="1"/>
        <v>8892</v>
      </c>
      <c r="BD2">
        <f t="shared" si="1"/>
        <v>9006</v>
      </c>
      <c r="BE2">
        <f t="shared" si="1"/>
        <v>9120</v>
      </c>
      <c r="BF2">
        <f t="shared" si="1"/>
        <v>9234</v>
      </c>
      <c r="BG2">
        <f t="shared" si="1"/>
        <v>9348</v>
      </c>
      <c r="BH2">
        <f t="shared" si="1"/>
        <v>9462</v>
      </c>
      <c r="BI2">
        <f t="shared" si="1"/>
        <v>9576</v>
      </c>
      <c r="BJ2">
        <f t="shared" si="1"/>
        <v>9690</v>
      </c>
      <c r="BK2">
        <f t="shared" si="1"/>
        <v>9804</v>
      </c>
      <c r="BL2">
        <f t="shared" si="1"/>
        <v>9918</v>
      </c>
      <c r="BM2">
        <f t="shared" si="1"/>
        <v>10032</v>
      </c>
      <c r="BN2">
        <f t="shared" si="1"/>
        <v>10146</v>
      </c>
      <c r="BO2">
        <f t="shared" ref="BO2:CT2" si="2">$B2+114*BO1</f>
        <v>10260</v>
      </c>
      <c r="BP2">
        <f t="shared" si="2"/>
        <v>10374</v>
      </c>
      <c r="BQ2">
        <f t="shared" si="2"/>
        <v>10488</v>
      </c>
      <c r="BR2">
        <f t="shared" si="2"/>
        <v>10602</v>
      </c>
      <c r="BS2">
        <f t="shared" si="2"/>
        <v>10716</v>
      </c>
      <c r="BT2">
        <f t="shared" si="2"/>
        <v>10830</v>
      </c>
    </row>
    <row r="3" spans="1:72" x14ac:dyDescent="0.2">
      <c r="A3" t="s">
        <v>24</v>
      </c>
      <c r="B3">
        <v>2800</v>
      </c>
      <c r="C3">
        <f t="shared" ref="C3:AH3" si="3">$B3+112*C1</f>
        <v>2912</v>
      </c>
      <c r="D3">
        <f t="shared" si="3"/>
        <v>3024</v>
      </c>
      <c r="E3">
        <f t="shared" si="3"/>
        <v>3136</v>
      </c>
      <c r="F3">
        <f t="shared" si="3"/>
        <v>3248</v>
      </c>
      <c r="G3">
        <f t="shared" si="3"/>
        <v>3360</v>
      </c>
      <c r="H3">
        <f t="shared" si="3"/>
        <v>3472</v>
      </c>
      <c r="I3">
        <f t="shared" si="3"/>
        <v>3584</v>
      </c>
      <c r="J3">
        <f t="shared" si="3"/>
        <v>3696</v>
      </c>
      <c r="K3">
        <f t="shared" si="3"/>
        <v>3808</v>
      </c>
      <c r="L3">
        <f t="shared" si="3"/>
        <v>3920</v>
      </c>
      <c r="M3">
        <f t="shared" si="3"/>
        <v>4032</v>
      </c>
      <c r="N3">
        <f t="shared" si="3"/>
        <v>4144</v>
      </c>
      <c r="O3">
        <f t="shared" si="3"/>
        <v>4256</v>
      </c>
      <c r="P3">
        <f t="shared" si="3"/>
        <v>4368</v>
      </c>
      <c r="Q3">
        <f t="shared" si="3"/>
        <v>4480</v>
      </c>
      <c r="R3">
        <f t="shared" si="3"/>
        <v>4592</v>
      </c>
      <c r="S3">
        <f t="shared" si="3"/>
        <v>4704</v>
      </c>
      <c r="T3">
        <f t="shared" si="3"/>
        <v>4816</v>
      </c>
      <c r="U3">
        <f t="shared" si="3"/>
        <v>4928</v>
      </c>
      <c r="V3">
        <f t="shared" si="3"/>
        <v>5040</v>
      </c>
      <c r="W3">
        <f t="shared" si="3"/>
        <v>5152</v>
      </c>
      <c r="X3">
        <f t="shared" si="3"/>
        <v>5264</v>
      </c>
      <c r="Y3">
        <f t="shared" si="3"/>
        <v>5376</v>
      </c>
      <c r="Z3">
        <f t="shared" si="3"/>
        <v>5488</v>
      </c>
      <c r="AA3">
        <f t="shared" si="3"/>
        <v>5600</v>
      </c>
      <c r="AB3">
        <f t="shared" si="3"/>
        <v>5712</v>
      </c>
      <c r="AC3">
        <f t="shared" si="3"/>
        <v>5824</v>
      </c>
      <c r="AD3">
        <f t="shared" si="3"/>
        <v>5936</v>
      </c>
      <c r="AE3">
        <f t="shared" si="3"/>
        <v>6048</v>
      </c>
      <c r="AF3">
        <f t="shared" si="3"/>
        <v>6160</v>
      </c>
      <c r="AG3">
        <f t="shared" si="3"/>
        <v>6272</v>
      </c>
      <c r="AH3">
        <f t="shared" si="3"/>
        <v>6384</v>
      </c>
      <c r="AI3">
        <f t="shared" ref="AI3:BN3" si="4">$B3+112*AI1</f>
        <v>6496</v>
      </c>
      <c r="AJ3">
        <f t="shared" si="4"/>
        <v>6608</v>
      </c>
      <c r="AK3">
        <f t="shared" si="4"/>
        <v>6720</v>
      </c>
      <c r="AL3">
        <f t="shared" si="4"/>
        <v>6832</v>
      </c>
      <c r="AM3">
        <f t="shared" si="4"/>
        <v>6944</v>
      </c>
      <c r="AN3">
        <f t="shared" si="4"/>
        <v>7056</v>
      </c>
      <c r="AO3">
        <f t="shared" si="4"/>
        <v>7168</v>
      </c>
      <c r="AP3">
        <f t="shared" si="4"/>
        <v>7280</v>
      </c>
      <c r="AQ3">
        <f t="shared" si="4"/>
        <v>7392</v>
      </c>
      <c r="AR3">
        <f t="shared" si="4"/>
        <v>7504</v>
      </c>
      <c r="AS3">
        <f t="shared" si="4"/>
        <v>7616</v>
      </c>
      <c r="AT3">
        <f t="shared" si="4"/>
        <v>7728</v>
      </c>
      <c r="AU3">
        <f t="shared" si="4"/>
        <v>7840</v>
      </c>
      <c r="AV3">
        <f t="shared" si="4"/>
        <v>7952</v>
      </c>
      <c r="AW3">
        <f t="shared" si="4"/>
        <v>8064</v>
      </c>
      <c r="AX3">
        <f t="shared" si="4"/>
        <v>8176</v>
      </c>
      <c r="AY3">
        <f t="shared" si="4"/>
        <v>8288</v>
      </c>
      <c r="AZ3">
        <f t="shared" si="4"/>
        <v>8400</v>
      </c>
      <c r="BA3">
        <f t="shared" si="4"/>
        <v>8512</v>
      </c>
      <c r="BB3">
        <f t="shared" si="4"/>
        <v>8624</v>
      </c>
      <c r="BC3">
        <f t="shared" si="4"/>
        <v>8736</v>
      </c>
      <c r="BD3">
        <f t="shared" si="4"/>
        <v>8848</v>
      </c>
      <c r="BE3">
        <f t="shared" si="4"/>
        <v>8960</v>
      </c>
      <c r="BF3">
        <f t="shared" si="4"/>
        <v>9072</v>
      </c>
      <c r="BG3">
        <f t="shared" si="4"/>
        <v>9184</v>
      </c>
      <c r="BH3" s="5">
        <f t="shared" si="4"/>
        <v>9296</v>
      </c>
      <c r="BI3">
        <f t="shared" si="4"/>
        <v>9408</v>
      </c>
      <c r="BJ3">
        <f t="shared" si="4"/>
        <v>9520</v>
      </c>
      <c r="BK3">
        <f t="shared" si="4"/>
        <v>9632</v>
      </c>
      <c r="BL3">
        <f t="shared" si="4"/>
        <v>9744</v>
      </c>
      <c r="BM3">
        <f t="shared" si="4"/>
        <v>9856</v>
      </c>
      <c r="BN3">
        <f t="shared" si="4"/>
        <v>9968</v>
      </c>
      <c r="BO3">
        <f t="shared" ref="BO3:BT3" si="5">$B3+112*BO1</f>
        <v>10080</v>
      </c>
      <c r="BP3">
        <f t="shared" si="5"/>
        <v>10192</v>
      </c>
      <c r="BQ3">
        <f t="shared" si="5"/>
        <v>10304</v>
      </c>
      <c r="BR3">
        <f t="shared" si="5"/>
        <v>10416</v>
      </c>
      <c r="BS3">
        <f t="shared" si="5"/>
        <v>10528</v>
      </c>
      <c r="BT3">
        <f t="shared" si="5"/>
        <v>10640</v>
      </c>
    </row>
    <row r="4" spans="1:72" x14ac:dyDescent="0.2">
      <c r="A4" t="s">
        <v>80</v>
      </c>
      <c r="B4">
        <v>1200</v>
      </c>
      <c r="C4">
        <f t="shared" ref="C4:AH4" si="6">$B4+60*C1</f>
        <v>1260</v>
      </c>
      <c r="D4">
        <f t="shared" si="6"/>
        <v>1320</v>
      </c>
      <c r="E4">
        <f t="shared" si="6"/>
        <v>1380</v>
      </c>
      <c r="F4">
        <f t="shared" si="6"/>
        <v>1440</v>
      </c>
      <c r="G4">
        <f t="shared" si="6"/>
        <v>1500</v>
      </c>
      <c r="H4">
        <f t="shared" si="6"/>
        <v>1560</v>
      </c>
      <c r="I4">
        <f t="shared" si="6"/>
        <v>1620</v>
      </c>
      <c r="J4">
        <f t="shared" si="6"/>
        <v>1680</v>
      </c>
      <c r="K4">
        <f t="shared" si="6"/>
        <v>1740</v>
      </c>
      <c r="L4">
        <f t="shared" si="6"/>
        <v>1800</v>
      </c>
      <c r="M4">
        <f t="shared" si="6"/>
        <v>1860</v>
      </c>
      <c r="N4">
        <f t="shared" si="6"/>
        <v>1920</v>
      </c>
      <c r="O4">
        <f t="shared" si="6"/>
        <v>1980</v>
      </c>
      <c r="P4">
        <f t="shared" si="6"/>
        <v>2040</v>
      </c>
      <c r="Q4">
        <f t="shared" si="6"/>
        <v>2100</v>
      </c>
      <c r="R4">
        <f t="shared" si="6"/>
        <v>2160</v>
      </c>
      <c r="S4">
        <f t="shared" si="6"/>
        <v>2220</v>
      </c>
      <c r="T4">
        <f t="shared" si="6"/>
        <v>2280</v>
      </c>
      <c r="U4">
        <f t="shared" si="6"/>
        <v>2340</v>
      </c>
      <c r="V4">
        <f t="shared" si="6"/>
        <v>2400</v>
      </c>
      <c r="W4">
        <f t="shared" si="6"/>
        <v>2460</v>
      </c>
      <c r="X4">
        <f t="shared" si="6"/>
        <v>2520</v>
      </c>
      <c r="Y4">
        <f t="shared" si="6"/>
        <v>2580</v>
      </c>
      <c r="Z4">
        <f t="shared" si="6"/>
        <v>2640</v>
      </c>
      <c r="AA4">
        <f t="shared" si="6"/>
        <v>2700</v>
      </c>
      <c r="AB4">
        <f t="shared" si="6"/>
        <v>2760</v>
      </c>
      <c r="AC4">
        <f t="shared" si="6"/>
        <v>2820</v>
      </c>
      <c r="AD4">
        <f t="shared" si="6"/>
        <v>2880</v>
      </c>
      <c r="AE4">
        <f t="shared" si="6"/>
        <v>2940</v>
      </c>
      <c r="AF4">
        <f t="shared" si="6"/>
        <v>3000</v>
      </c>
      <c r="AG4">
        <f t="shared" si="6"/>
        <v>3060</v>
      </c>
      <c r="AH4">
        <f t="shared" si="6"/>
        <v>3120</v>
      </c>
      <c r="AI4">
        <f t="shared" ref="AI4:BN4" si="7">$B4+60*AI1</f>
        <v>3180</v>
      </c>
      <c r="AJ4">
        <f t="shared" si="7"/>
        <v>3240</v>
      </c>
      <c r="AK4">
        <f t="shared" si="7"/>
        <v>3300</v>
      </c>
      <c r="AL4">
        <f t="shared" si="7"/>
        <v>3360</v>
      </c>
      <c r="AM4">
        <f t="shared" si="7"/>
        <v>3420</v>
      </c>
      <c r="AN4">
        <f t="shared" si="7"/>
        <v>3480</v>
      </c>
      <c r="AO4">
        <f t="shared" si="7"/>
        <v>3540</v>
      </c>
      <c r="AP4">
        <f t="shared" si="7"/>
        <v>3600</v>
      </c>
      <c r="AQ4">
        <f t="shared" si="7"/>
        <v>3660</v>
      </c>
      <c r="AR4">
        <f t="shared" si="7"/>
        <v>3720</v>
      </c>
      <c r="AS4">
        <f t="shared" si="7"/>
        <v>3780</v>
      </c>
      <c r="AT4">
        <f t="shared" si="7"/>
        <v>3840</v>
      </c>
      <c r="AU4">
        <f t="shared" si="7"/>
        <v>3900</v>
      </c>
      <c r="AV4">
        <f t="shared" si="7"/>
        <v>3960</v>
      </c>
      <c r="AW4">
        <f t="shared" si="7"/>
        <v>4020</v>
      </c>
      <c r="AX4">
        <f t="shared" si="7"/>
        <v>4080</v>
      </c>
      <c r="AY4">
        <f t="shared" si="7"/>
        <v>4140</v>
      </c>
      <c r="AZ4">
        <f t="shared" si="7"/>
        <v>4200</v>
      </c>
      <c r="BA4">
        <f t="shared" si="7"/>
        <v>4260</v>
      </c>
      <c r="BB4">
        <f t="shared" si="7"/>
        <v>4320</v>
      </c>
      <c r="BC4">
        <f t="shared" si="7"/>
        <v>4380</v>
      </c>
      <c r="BD4">
        <f t="shared" si="7"/>
        <v>4440</v>
      </c>
      <c r="BE4">
        <f t="shared" si="7"/>
        <v>4500</v>
      </c>
      <c r="BF4">
        <f t="shared" si="7"/>
        <v>4560</v>
      </c>
      <c r="BG4">
        <f t="shared" si="7"/>
        <v>4620</v>
      </c>
      <c r="BH4">
        <f t="shared" si="7"/>
        <v>4680</v>
      </c>
      <c r="BI4">
        <f t="shared" si="7"/>
        <v>4740</v>
      </c>
      <c r="BJ4">
        <f t="shared" si="7"/>
        <v>4800</v>
      </c>
      <c r="BK4">
        <f t="shared" si="7"/>
        <v>4860</v>
      </c>
      <c r="BL4">
        <f t="shared" si="7"/>
        <v>4920</v>
      </c>
      <c r="BM4">
        <f t="shared" si="7"/>
        <v>4980</v>
      </c>
      <c r="BN4">
        <f t="shared" si="7"/>
        <v>5040</v>
      </c>
      <c r="BO4">
        <f t="shared" ref="BO4:BT4" si="8">$B4+60*BO1</f>
        <v>5100</v>
      </c>
      <c r="BP4">
        <f t="shared" si="8"/>
        <v>5160</v>
      </c>
      <c r="BQ4">
        <f t="shared" si="8"/>
        <v>5220</v>
      </c>
      <c r="BR4">
        <f t="shared" si="8"/>
        <v>5280</v>
      </c>
      <c r="BS4">
        <f t="shared" si="8"/>
        <v>5340</v>
      </c>
      <c r="BT4">
        <f t="shared" si="8"/>
        <v>5400</v>
      </c>
    </row>
    <row r="5" spans="1:72" x14ac:dyDescent="0.2">
      <c r="A5" t="s">
        <v>81</v>
      </c>
      <c r="B5">
        <v>1810</v>
      </c>
      <c r="C5">
        <f t="shared" ref="C5:AH5" si="9">$B5+66*C1</f>
        <v>1876</v>
      </c>
      <c r="D5">
        <f t="shared" si="9"/>
        <v>1942</v>
      </c>
      <c r="E5">
        <f t="shared" si="9"/>
        <v>2008</v>
      </c>
      <c r="F5">
        <f t="shared" si="9"/>
        <v>2074</v>
      </c>
      <c r="G5">
        <f t="shared" si="9"/>
        <v>2140</v>
      </c>
      <c r="H5">
        <f t="shared" si="9"/>
        <v>2206</v>
      </c>
      <c r="I5">
        <f t="shared" si="9"/>
        <v>2272</v>
      </c>
      <c r="J5">
        <f t="shared" si="9"/>
        <v>2338</v>
      </c>
      <c r="K5">
        <f t="shared" si="9"/>
        <v>2404</v>
      </c>
      <c r="L5">
        <f t="shared" si="9"/>
        <v>2470</v>
      </c>
      <c r="M5">
        <f t="shared" si="9"/>
        <v>2536</v>
      </c>
      <c r="N5">
        <f t="shared" si="9"/>
        <v>2602</v>
      </c>
      <c r="O5">
        <f t="shared" si="9"/>
        <v>2668</v>
      </c>
      <c r="P5">
        <f t="shared" si="9"/>
        <v>2734</v>
      </c>
      <c r="Q5">
        <f t="shared" si="9"/>
        <v>2800</v>
      </c>
      <c r="R5">
        <f t="shared" si="9"/>
        <v>2866</v>
      </c>
      <c r="S5">
        <f t="shared" si="9"/>
        <v>2932</v>
      </c>
      <c r="T5">
        <f t="shared" si="9"/>
        <v>2998</v>
      </c>
      <c r="U5">
        <f t="shared" si="9"/>
        <v>3064</v>
      </c>
      <c r="V5">
        <f t="shared" si="9"/>
        <v>3130</v>
      </c>
      <c r="W5">
        <f t="shared" si="9"/>
        <v>3196</v>
      </c>
      <c r="X5">
        <f t="shared" si="9"/>
        <v>3262</v>
      </c>
      <c r="Y5">
        <f t="shared" si="9"/>
        <v>3328</v>
      </c>
      <c r="Z5">
        <f t="shared" si="9"/>
        <v>3394</v>
      </c>
      <c r="AA5">
        <f t="shared" si="9"/>
        <v>3460</v>
      </c>
      <c r="AB5">
        <f t="shared" si="9"/>
        <v>3526</v>
      </c>
      <c r="AC5">
        <f t="shared" si="9"/>
        <v>3592</v>
      </c>
      <c r="AD5">
        <f t="shared" si="9"/>
        <v>3658</v>
      </c>
      <c r="AE5">
        <f t="shared" si="9"/>
        <v>3724</v>
      </c>
      <c r="AF5">
        <f t="shared" si="9"/>
        <v>3790</v>
      </c>
      <c r="AG5">
        <f t="shared" si="9"/>
        <v>3856</v>
      </c>
      <c r="AH5">
        <f t="shared" si="9"/>
        <v>3922</v>
      </c>
      <c r="AI5">
        <f t="shared" ref="AI5:BN5" si="10">$B5+66*AI1</f>
        <v>3988</v>
      </c>
      <c r="AJ5">
        <f t="shared" si="10"/>
        <v>4054</v>
      </c>
      <c r="AK5">
        <f t="shared" si="10"/>
        <v>4120</v>
      </c>
      <c r="AL5">
        <f t="shared" si="10"/>
        <v>4186</v>
      </c>
      <c r="AM5">
        <f t="shared" si="10"/>
        <v>4252</v>
      </c>
      <c r="AN5">
        <f t="shared" si="10"/>
        <v>4318</v>
      </c>
      <c r="AO5">
        <f t="shared" si="10"/>
        <v>4384</v>
      </c>
      <c r="AP5">
        <f t="shared" si="10"/>
        <v>4450</v>
      </c>
      <c r="AQ5">
        <f t="shared" si="10"/>
        <v>4516</v>
      </c>
      <c r="AR5">
        <f t="shared" si="10"/>
        <v>4582</v>
      </c>
      <c r="AS5">
        <f t="shared" si="10"/>
        <v>4648</v>
      </c>
      <c r="AT5">
        <f t="shared" si="10"/>
        <v>4714</v>
      </c>
      <c r="AU5">
        <f t="shared" si="10"/>
        <v>4780</v>
      </c>
      <c r="AV5">
        <f t="shared" si="10"/>
        <v>4846</v>
      </c>
      <c r="AW5">
        <f t="shared" si="10"/>
        <v>4912</v>
      </c>
      <c r="AX5">
        <f t="shared" si="10"/>
        <v>4978</v>
      </c>
      <c r="AY5">
        <f t="shared" si="10"/>
        <v>5044</v>
      </c>
      <c r="AZ5">
        <f t="shared" si="10"/>
        <v>5110</v>
      </c>
      <c r="BA5">
        <f t="shared" si="10"/>
        <v>5176</v>
      </c>
      <c r="BB5">
        <f t="shared" si="10"/>
        <v>5242</v>
      </c>
      <c r="BC5">
        <f t="shared" si="10"/>
        <v>5308</v>
      </c>
      <c r="BD5">
        <f t="shared" si="10"/>
        <v>5374</v>
      </c>
      <c r="BE5">
        <f t="shared" si="10"/>
        <v>5440</v>
      </c>
      <c r="BF5">
        <f t="shared" si="10"/>
        <v>5506</v>
      </c>
      <c r="BG5">
        <f t="shared" si="10"/>
        <v>5572</v>
      </c>
      <c r="BH5">
        <f t="shared" si="10"/>
        <v>5638</v>
      </c>
      <c r="BI5">
        <f t="shared" si="10"/>
        <v>5704</v>
      </c>
      <c r="BJ5">
        <f t="shared" si="10"/>
        <v>5770</v>
      </c>
      <c r="BK5">
        <f t="shared" si="10"/>
        <v>5836</v>
      </c>
      <c r="BL5">
        <f t="shared" si="10"/>
        <v>5902</v>
      </c>
      <c r="BM5">
        <f t="shared" si="10"/>
        <v>5968</v>
      </c>
      <c r="BN5">
        <f t="shared" si="10"/>
        <v>6034</v>
      </c>
      <c r="BO5">
        <f t="shared" ref="BO5:BT5" si="11">$B5+66*BO1</f>
        <v>6100</v>
      </c>
      <c r="BP5">
        <f t="shared" si="11"/>
        <v>6166</v>
      </c>
      <c r="BQ5">
        <f t="shared" si="11"/>
        <v>6232</v>
      </c>
      <c r="BR5">
        <f t="shared" si="11"/>
        <v>6298</v>
      </c>
      <c r="BS5">
        <f t="shared" si="11"/>
        <v>6364</v>
      </c>
      <c r="BT5">
        <f t="shared" si="11"/>
        <v>6430</v>
      </c>
    </row>
    <row r="6" spans="1:72" x14ac:dyDescent="0.2">
      <c r="A6" t="s">
        <v>82</v>
      </c>
      <c r="B6">
        <v>1662</v>
      </c>
      <c r="C6">
        <f t="shared" ref="C6:AH6" si="12">$B6+75*C1</f>
        <v>1737</v>
      </c>
      <c r="D6">
        <f t="shared" si="12"/>
        <v>1812</v>
      </c>
      <c r="E6">
        <f t="shared" si="12"/>
        <v>1887</v>
      </c>
      <c r="F6">
        <f t="shared" si="12"/>
        <v>1962</v>
      </c>
      <c r="G6">
        <f t="shared" si="12"/>
        <v>2037</v>
      </c>
      <c r="H6">
        <f t="shared" si="12"/>
        <v>2112</v>
      </c>
      <c r="I6">
        <f t="shared" si="12"/>
        <v>2187</v>
      </c>
      <c r="J6">
        <f t="shared" si="12"/>
        <v>2262</v>
      </c>
      <c r="K6">
        <f t="shared" si="12"/>
        <v>2337</v>
      </c>
      <c r="L6">
        <f t="shared" si="12"/>
        <v>2412</v>
      </c>
      <c r="M6">
        <f t="shared" si="12"/>
        <v>2487</v>
      </c>
      <c r="N6">
        <f t="shared" si="12"/>
        <v>2562</v>
      </c>
      <c r="O6">
        <f t="shared" si="12"/>
        <v>2637</v>
      </c>
      <c r="P6">
        <f t="shared" si="12"/>
        <v>2712</v>
      </c>
      <c r="Q6">
        <f t="shared" si="12"/>
        <v>2787</v>
      </c>
      <c r="R6">
        <f t="shared" si="12"/>
        <v>2862</v>
      </c>
      <c r="S6">
        <f t="shared" si="12"/>
        <v>2937</v>
      </c>
      <c r="T6">
        <f t="shared" si="12"/>
        <v>3012</v>
      </c>
      <c r="U6">
        <f t="shared" si="12"/>
        <v>3087</v>
      </c>
      <c r="V6">
        <f t="shared" si="12"/>
        <v>3162</v>
      </c>
      <c r="W6">
        <f t="shared" si="12"/>
        <v>3237</v>
      </c>
      <c r="X6">
        <f t="shared" si="12"/>
        <v>3312</v>
      </c>
      <c r="Y6">
        <f t="shared" si="12"/>
        <v>3387</v>
      </c>
      <c r="Z6">
        <f t="shared" si="12"/>
        <v>3462</v>
      </c>
      <c r="AA6">
        <f t="shared" si="12"/>
        <v>3537</v>
      </c>
      <c r="AB6">
        <f t="shared" si="12"/>
        <v>3612</v>
      </c>
      <c r="AC6">
        <f t="shared" si="12"/>
        <v>3687</v>
      </c>
      <c r="AD6">
        <f t="shared" si="12"/>
        <v>3762</v>
      </c>
      <c r="AE6">
        <f t="shared" si="12"/>
        <v>3837</v>
      </c>
      <c r="AF6">
        <f t="shared" si="12"/>
        <v>3912</v>
      </c>
      <c r="AG6">
        <f t="shared" si="12"/>
        <v>3987</v>
      </c>
      <c r="AH6">
        <f t="shared" si="12"/>
        <v>4062</v>
      </c>
      <c r="AI6">
        <f t="shared" ref="AI6:BN6" si="13">$B6+75*AI1</f>
        <v>4137</v>
      </c>
      <c r="AJ6">
        <f t="shared" si="13"/>
        <v>4212</v>
      </c>
      <c r="AK6">
        <f t="shared" si="13"/>
        <v>4287</v>
      </c>
      <c r="AL6">
        <f t="shared" si="13"/>
        <v>4362</v>
      </c>
      <c r="AM6">
        <f t="shared" si="13"/>
        <v>4437</v>
      </c>
      <c r="AN6">
        <f t="shared" si="13"/>
        <v>4512</v>
      </c>
      <c r="AO6">
        <f t="shared" si="13"/>
        <v>4587</v>
      </c>
      <c r="AP6">
        <f t="shared" si="13"/>
        <v>4662</v>
      </c>
      <c r="AQ6">
        <f t="shared" si="13"/>
        <v>4737</v>
      </c>
      <c r="AR6">
        <f t="shared" si="13"/>
        <v>4812</v>
      </c>
      <c r="AS6">
        <f t="shared" si="13"/>
        <v>4887</v>
      </c>
      <c r="AT6">
        <f t="shared" si="13"/>
        <v>4962</v>
      </c>
      <c r="AU6" s="5">
        <f t="shared" si="13"/>
        <v>5037</v>
      </c>
      <c r="AV6">
        <f t="shared" si="13"/>
        <v>5112</v>
      </c>
      <c r="AW6">
        <f t="shared" si="13"/>
        <v>5187</v>
      </c>
      <c r="AX6">
        <f t="shared" si="13"/>
        <v>5262</v>
      </c>
      <c r="AY6">
        <f t="shared" si="13"/>
        <v>5337</v>
      </c>
      <c r="AZ6">
        <f t="shared" si="13"/>
        <v>5412</v>
      </c>
      <c r="BA6">
        <f t="shared" si="13"/>
        <v>5487</v>
      </c>
      <c r="BB6">
        <f t="shared" si="13"/>
        <v>5562</v>
      </c>
      <c r="BC6">
        <f t="shared" si="13"/>
        <v>5637</v>
      </c>
      <c r="BD6">
        <f t="shared" si="13"/>
        <v>5712</v>
      </c>
      <c r="BE6">
        <f t="shared" si="13"/>
        <v>5787</v>
      </c>
      <c r="BF6">
        <f t="shared" si="13"/>
        <v>5862</v>
      </c>
      <c r="BG6" s="5">
        <f t="shared" si="13"/>
        <v>5937</v>
      </c>
      <c r="BH6">
        <f t="shared" si="13"/>
        <v>6012</v>
      </c>
      <c r="BI6">
        <f t="shared" si="13"/>
        <v>6087</v>
      </c>
      <c r="BJ6">
        <f t="shared" si="13"/>
        <v>6162</v>
      </c>
      <c r="BK6">
        <f t="shared" si="13"/>
        <v>6237</v>
      </c>
      <c r="BL6">
        <f t="shared" si="13"/>
        <v>6312</v>
      </c>
      <c r="BM6">
        <f t="shared" si="13"/>
        <v>6387</v>
      </c>
      <c r="BN6">
        <f t="shared" si="13"/>
        <v>6462</v>
      </c>
      <c r="BO6">
        <f t="shared" ref="BO6:BT6" si="14">$B6+75*BO1</f>
        <v>6537</v>
      </c>
      <c r="BP6">
        <f t="shared" si="14"/>
        <v>6612</v>
      </c>
      <c r="BQ6">
        <f t="shared" si="14"/>
        <v>6687</v>
      </c>
      <c r="BR6">
        <f t="shared" si="14"/>
        <v>6762</v>
      </c>
      <c r="BS6">
        <f t="shared" si="14"/>
        <v>6837</v>
      </c>
      <c r="BT6">
        <f t="shared" si="14"/>
        <v>6912</v>
      </c>
    </row>
    <row r="7" spans="1:72" x14ac:dyDescent="0.2">
      <c r="A7" t="s">
        <v>45</v>
      </c>
      <c r="B7">
        <v>1270</v>
      </c>
      <c r="C7">
        <f t="shared" ref="C7:AH7" si="15">$B7+84*C$1</f>
        <v>1354</v>
      </c>
      <c r="D7">
        <f t="shared" si="15"/>
        <v>1438</v>
      </c>
      <c r="E7">
        <f t="shared" si="15"/>
        <v>1522</v>
      </c>
      <c r="F7">
        <f t="shared" si="15"/>
        <v>1606</v>
      </c>
      <c r="G7">
        <f t="shared" si="15"/>
        <v>1690</v>
      </c>
      <c r="H7">
        <f t="shared" si="15"/>
        <v>1774</v>
      </c>
      <c r="I7">
        <f t="shared" si="15"/>
        <v>1858</v>
      </c>
      <c r="J7">
        <f t="shared" si="15"/>
        <v>1942</v>
      </c>
      <c r="K7">
        <f t="shared" si="15"/>
        <v>2026</v>
      </c>
      <c r="L7">
        <f t="shared" si="15"/>
        <v>2110</v>
      </c>
      <c r="M7">
        <f t="shared" si="15"/>
        <v>2194</v>
      </c>
      <c r="N7">
        <f t="shared" si="15"/>
        <v>2278</v>
      </c>
      <c r="O7">
        <f t="shared" si="15"/>
        <v>2362</v>
      </c>
      <c r="P7">
        <f t="shared" si="15"/>
        <v>2446</v>
      </c>
      <c r="Q7">
        <f t="shared" si="15"/>
        <v>2530</v>
      </c>
      <c r="R7">
        <f t="shared" si="15"/>
        <v>2614</v>
      </c>
      <c r="S7">
        <f t="shared" si="15"/>
        <v>2698</v>
      </c>
      <c r="T7">
        <f t="shared" si="15"/>
        <v>2782</v>
      </c>
      <c r="U7">
        <f t="shared" si="15"/>
        <v>2866</v>
      </c>
      <c r="V7">
        <f t="shared" si="15"/>
        <v>2950</v>
      </c>
      <c r="W7">
        <f t="shared" si="15"/>
        <v>3034</v>
      </c>
      <c r="X7">
        <f t="shared" si="15"/>
        <v>3118</v>
      </c>
      <c r="Y7">
        <f t="shared" si="15"/>
        <v>3202</v>
      </c>
      <c r="Z7">
        <f t="shared" si="15"/>
        <v>3286</v>
      </c>
      <c r="AA7">
        <f t="shared" si="15"/>
        <v>3370</v>
      </c>
      <c r="AB7">
        <f t="shared" si="15"/>
        <v>3454</v>
      </c>
      <c r="AC7">
        <f t="shared" si="15"/>
        <v>3538</v>
      </c>
      <c r="AD7">
        <f t="shared" si="15"/>
        <v>3622</v>
      </c>
      <c r="AE7">
        <f t="shared" si="15"/>
        <v>3706</v>
      </c>
      <c r="AF7">
        <f t="shared" si="15"/>
        <v>3790</v>
      </c>
      <c r="AG7">
        <f t="shared" si="15"/>
        <v>3874</v>
      </c>
      <c r="AH7">
        <f t="shared" si="15"/>
        <v>3958</v>
      </c>
      <c r="AI7">
        <f t="shared" ref="AI7:BN7" si="16">$B7+84*AI$1</f>
        <v>4042</v>
      </c>
      <c r="AJ7">
        <f t="shared" si="16"/>
        <v>4126</v>
      </c>
      <c r="AK7">
        <f t="shared" si="16"/>
        <v>4210</v>
      </c>
      <c r="AL7">
        <f t="shared" si="16"/>
        <v>4294</v>
      </c>
      <c r="AM7">
        <f t="shared" si="16"/>
        <v>4378</v>
      </c>
      <c r="AN7">
        <f t="shared" si="16"/>
        <v>4462</v>
      </c>
      <c r="AO7">
        <f t="shared" si="16"/>
        <v>4546</v>
      </c>
      <c r="AP7">
        <f t="shared" si="16"/>
        <v>4630</v>
      </c>
      <c r="AQ7">
        <f t="shared" si="16"/>
        <v>4714</v>
      </c>
      <c r="AR7">
        <f t="shared" si="16"/>
        <v>4798</v>
      </c>
      <c r="AS7" s="5">
        <f t="shared" si="16"/>
        <v>4882</v>
      </c>
      <c r="AT7">
        <f t="shared" si="16"/>
        <v>4966</v>
      </c>
      <c r="AU7">
        <f t="shared" si="16"/>
        <v>5050</v>
      </c>
      <c r="AV7">
        <f t="shared" si="16"/>
        <v>5134</v>
      </c>
      <c r="AW7">
        <f t="shared" si="16"/>
        <v>5218</v>
      </c>
      <c r="AX7">
        <f t="shared" si="16"/>
        <v>5302</v>
      </c>
      <c r="AY7">
        <f t="shared" si="16"/>
        <v>5386</v>
      </c>
      <c r="AZ7">
        <f t="shared" si="16"/>
        <v>5470</v>
      </c>
      <c r="BA7">
        <f t="shared" si="16"/>
        <v>5554</v>
      </c>
      <c r="BB7">
        <f t="shared" si="16"/>
        <v>5638</v>
      </c>
      <c r="BC7">
        <f t="shared" si="16"/>
        <v>5722</v>
      </c>
      <c r="BD7">
        <f t="shared" si="16"/>
        <v>5806</v>
      </c>
      <c r="BE7" s="5">
        <f t="shared" si="16"/>
        <v>5890</v>
      </c>
      <c r="BF7">
        <f t="shared" si="16"/>
        <v>5974</v>
      </c>
      <c r="BG7">
        <f t="shared" si="16"/>
        <v>6058</v>
      </c>
      <c r="BH7">
        <f t="shared" si="16"/>
        <v>6142</v>
      </c>
      <c r="BI7">
        <f t="shared" si="16"/>
        <v>6226</v>
      </c>
      <c r="BJ7">
        <f t="shared" si="16"/>
        <v>6310</v>
      </c>
      <c r="BK7">
        <f t="shared" si="16"/>
        <v>6394</v>
      </c>
      <c r="BL7">
        <f t="shared" si="16"/>
        <v>6478</v>
      </c>
      <c r="BM7">
        <f t="shared" si="16"/>
        <v>6562</v>
      </c>
      <c r="BN7">
        <f t="shared" si="16"/>
        <v>6646</v>
      </c>
      <c r="BO7">
        <f t="shared" ref="BO7:BT7" si="17">$B7+84*BO$1</f>
        <v>6730</v>
      </c>
      <c r="BP7">
        <f t="shared" si="17"/>
        <v>6814</v>
      </c>
      <c r="BQ7">
        <f t="shared" si="17"/>
        <v>6898</v>
      </c>
      <c r="BR7">
        <f t="shared" si="17"/>
        <v>6982</v>
      </c>
      <c r="BS7">
        <f t="shared" si="17"/>
        <v>7066</v>
      </c>
      <c r="BT7">
        <f t="shared" si="17"/>
        <v>7150</v>
      </c>
    </row>
    <row r="8" spans="1:72" x14ac:dyDescent="0.2">
      <c r="A8" t="s">
        <v>83</v>
      </c>
      <c r="B8" s="7">
        <v>1400</v>
      </c>
      <c r="C8" s="7">
        <f t="shared" ref="C8:AH8" si="18">$B8+56*C$1</f>
        <v>1456</v>
      </c>
      <c r="D8" s="7">
        <f t="shared" si="18"/>
        <v>1512</v>
      </c>
      <c r="E8" s="7">
        <f t="shared" si="18"/>
        <v>1568</v>
      </c>
      <c r="F8" s="7">
        <f t="shared" si="18"/>
        <v>1624</v>
      </c>
      <c r="G8" s="7">
        <f t="shared" si="18"/>
        <v>1680</v>
      </c>
      <c r="H8" s="7">
        <f t="shared" si="18"/>
        <v>1736</v>
      </c>
      <c r="I8" s="7">
        <f t="shared" si="18"/>
        <v>1792</v>
      </c>
      <c r="J8" s="7">
        <f t="shared" si="18"/>
        <v>1848</v>
      </c>
      <c r="K8" s="7">
        <f t="shared" si="18"/>
        <v>1904</v>
      </c>
      <c r="L8" s="7">
        <f t="shared" si="18"/>
        <v>1960</v>
      </c>
      <c r="M8" s="7">
        <f t="shared" si="18"/>
        <v>2016</v>
      </c>
      <c r="N8" s="7">
        <f t="shared" si="18"/>
        <v>2072</v>
      </c>
      <c r="O8" s="7">
        <f t="shared" si="18"/>
        <v>2128</v>
      </c>
      <c r="P8" s="7">
        <f t="shared" si="18"/>
        <v>2184</v>
      </c>
      <c r="Q8" s="7">
        <f t="shared" si="18"/>
        <v>2240</v>
      </c>
      <c r="R8" s="7">
        <f t="shared" si="18"/>
        <v>2296</v>
      </c>
      <c r="S8" s="7">
        <f t="shared" si="18"/>
        <v>2352</v>
      </c>
      <c r="T8" s="7">
        <f t="shared" si="18"/>
        <v>2408</v>
      </c>
      <c r="U8" s="7">
        <f t="shared" si="18"/>
        <v>2464</v>
      </c>
      <c r="V8" s="7">
        <f t="shared" si="18"/>
        <v>2520</v>
      </c>
      <c r="W8" s="7">
        <f t="shared" si="18"/>
        <v>2576</v>
      </c>
      <c r="X8" s="7">
        <f t="shared" si="18"/>
        <v>2632</v>
      </c>
      <c r="Y8" s="7">
        <f t="shared" si="18"/>
        <v>2688</v>
      </c>
      <c r="Z8" s="7">
        <f t="shared" si="18"/>
        <v>2744</v>
      </c>
      <c r="AA8" s="7">
        <f t="shared" si="18"/>
        <v>2800</v>
      </c>
      <c r="AB8" s="7">
        <f t="shared" si="18"/>
        <v>2856</v>
      </c>
      <c r="AC8" s="7">
        <f t="shared" si="18"/>
        <v>2912</v>
      </c>
      <c r="AD8" s="7">
        <f t="shared" si="18"/>
        <v>2968</v>
      </c>
      <c r="AE8" s="7">
        <f t="shared" si="18"/>
        <v>3024</v>
      </c>
      <c r="AF8" s="7">
        <f t="shared" si="18"/>
        <v>3080</v>
      </c>
      <c r="AG8" s="7">
        <f t="shared" si="18"/>
        <v>3136</v>
      </c>
      <c r="AH8" s="7">
        <f t="shared" si="18"/>
        <v>3192</v>
      </c>
      <c r="AI8" s="7">
        <f t="shared" ref="AI8:BN8" si="19">$B8+56*AI$1</f>
        <v>3248</v>
      </c>
      <c r="AJ8" s="7">
        <f t="shared" si="19"/>
        <v>3304</v>
      </c>
      <c r="AK8" s="7">
        <f t="shared" si="19"/>
        <v>3360</v>
      </c>
      <c r="AL8" s="7">
        <f t="shared" si="19"/>
        <v>3416</v>
      </c>
      <c r="AM8" s="7">
        <f t="shared" si="19"/>
        <v>3472</v>
      </c>
      <c r="AN8" s="7">
        <f t="shared" si="19"/>
        <v>3528</v>
      </c>
      <c r="AO8" s="7">
        <f t="shared" si="19"/>
        <v>3584</v>
      </c>
      <c r="AP8" s="7">
        <f t="shared" si="19"/>
        <v>3640</v>
      </c>
      <c r="AQ8" s="7">
        <f t="shared" si="19"/>
        <v>3696</v>
      </c>
      <c r="AR8" s="7">
        <f t="shared" si="19"/>
        <v>3752</v>
      </c>
      <c r="AS8" s="7">
        <f t="shared" si="19"/>
        <v>3808</v>
      </c>
      <c r="AT8" s="7">
        <f t="shared" si="19"/>
        <v>3864</v>
      </c>
      <c r="AU8" s="7">
        <f t="shared" si="19"/>
        <v>3920</v>
      </c>
      <c r="AV8" s="7">
        <f t="shared" si="19"/>
        <v>3976</v>
      </c>
      <c r="AW8" s="7">
        <f t="shared" si="19"/>
        <v>4032</v>
      </c>
      <c r="AX8" s="7">
        <f t="shared" si="19"/>
        <v>4088</v>
      </c>
      <c r="AY8" s="7">
        <f t="shared" si="19"/>
        <v>4144</v>
      </c>
      <c r="AZ8" s="7">
        <f t="shared" si="19"/>
        <v>4200</v>
      </c>
      <c r="BA8" s="7">
        <f t="shared" si="19"/>
        <v>4256</v>
      </c>
      <c r="BB8" s="7">
        <f t="shared" si="19"/>
        <v>4312</v>
      </c>
      <c r="BC8" s="7">
        <f t="shared" si="19"/>
        <v>4368</v>
      </c>
      <c r="BD8" s="7">
        <f t="shared" si="19"/>
        <v>4424</v>
      </c>
      <c r="BE8" s="7">
        <f t="shared" si="19"/>
        <v>4480</v>
      </c>
      <c r="BF8" s="7">
        <f t="shared" si="19"/>
        <v>4536</v>
      </c>
      <c r="BG8" s="7">
        <f t="shared" si="19"/>
        <v>4592</v>
      </c>
      <c r="BH8" s="7">
        <f t="shared" si="19"/>
        <v>4648</v>
      </c>
      <c r="BI8" s="7">
        <f t="shared" si="19"/>
        <v>4704</v>
      </c>
      <c r="BJ8" s="7">
        <f t="shared" si="19"/>
        <v>4760</v>
      </c>
      <c r="BK8" s="7">
        <f t="shared" si="19"/>
        <v>4816</v>
      </c>
      <c r="BL8" s="7">
        <f t="shared" si="19"/>
        <v>4872</v>
      </c>
      <c r="BM8" s="7">
        <f t="shared" si="19"/>
        <v>4928</v>
      </c>
      <c r="BN8" s="7">
        <f t="shared" si="19"/>
        <v>4984</v>
      </c>
      <c r="BO8" s="7">
        <f t="shared" ref="BO8:BT8" si="20">$B8+56*BO$1</f>
        <v>5040</v>
      </c>
      <c r="BP8" s="7">
        <f t="shared" si="20"/>
        <v>5096</v>
      </c>
      <c r="BQ8" s="7">
        <f t="shared" si="20"/>
        <v>5152</v>
      </c>
      <c r="BR8" s="7">
        <f t="shared" si="20"/>
        <v>5208</v>
      </c>
      <c r="BS8" s="7">
        <f t="shared" si="20"/>
        <v>5264</v>
      </c>
      <c r="BT8" s="7">
        <f t="shared" si="20"/>
        <v>5320</v>
      </c>
    </row>
    <row r="9" spans="1:72" x14ac:dyDescent="0.2">
      <c r="A9" t="s">
        <v>84</v>
      </c>
      <c r="B9">
        <v>1325</v>
      </c>
      <c r="C9">
        <f t="shared" ref="C9:AH9" si="21">$B9+53*C$1</f>
        <v>1378</v>
      </c>
      <c r="D9">
        <f t="shared" si="21"/>
        <v>1431</v>
      </c>
      <c r="E9">
        <f t="shared" si="21"/>
        <v>1484</v>
      </c>
      <c r="F9">
        <f t="shared" si="21"/>
        <v>1537</v>
      </c>
      <c r="G9">
        <f t="shared" si="21"/>
        <v>1590</v>
      </c>
      <c r="H9">
        <f t="shared" si="21"/>
        <v>1643</v>
      </c>
      <c r="I9">
        <f t="shared" si="21"/>
        <v>1696</v>
      </c>
      <c r="J9">
        <f t="shared" si="21"/>
        <v>1749</v>
      </c>
      <c r="K9">
        <f t="shared" si="21"/>
        <v>1802</v>
      </c>
      <c r="L9">
        <f t="shared" si="21"/>
        <v>1855</v>
      </c>
      <c r="M9">
        <f t="shared" si="21"/>
        <v>1908</v>
      </c>
      <c r="N9">
        <f t="shared" si="21"/>
        <v>1961</v>
      </c>
      <c r="O9">
        <f t="shared" si="21"/>
        <v>2014</v>
      </c>
      <c r="P9">
        <f t="shared" si="21"/>
        <v>2067</v>
      </c>
      <c r="Q9" s="5">
        <f t="shared" si="21"/>
        <v>2120</v>
      </c>
      <c r="R9">
        <f t="shared" si="21"/>
        <v>2173</v>
      </c>
      <c r="S9">
        <f t="shared" si="21"/>
        <v>2226</v>
      </c>
      <c r="T9">
        <f t="shared" si="21"/>
        <v>2279</v>
      </c>
      <c r="U9">
        <f t="shared" si="21"/>
        <v>2332</v>
      </c>
      <c r="V9">
        <f t="shared" si="21"/>
        <v>2385</v>
      </c>
      <c r="W9">
        <f t="shared" si="21"/>
        <v>2438</v>
      </c>
      <c r="X9">
        <f t="shared" si="21"/>
        <v>2491</v>
      </c>
      <c r="Y9">
        <f t="shared" si="21"/>
        <v>2544</v>
      </c>
      <c r="Z9">
        <f t="shared" si="21"/>
        <v>2597</v>
      </c>
      <c r="AA9">
        <f t="shared" si="21"/>
        <v>2650</v>
      </c>
      <c r="AB9">
        <f t="shared" si="21"/>
        <v>2703</v>
      </c>
      <c r="AC9">
        <f t="shared" si="21"/>
        <v>2756</v>
      </c>
      <c r="AD9">
        <f t="shared" si="21"/>
        <v>2809</v>
      </c>
      <c r="AE9">
        <f t="shared" si="21"/>
        <v>2862</v>
      </c>
      <c r="AF9">
        <f t="shared" si="21"/>
        <v>2915</v>
      </c>
      <c r="AG9">
        <f t="shared" si="21"/>
        <v>2968</v>
      </c>
      <c r="AH9">
        <f t="shared" si="21"/>
        <v>3021</v>
      </c>
      <c r="AI9">
        <f t="shared" ref="AI9:BN9" si="22">$B9+53*AI$1</f>
        <v>3074</v>
      </c>
      <c r="AJ9" s="5">
        <f t="shared" si="22"/>
        <v>3127</v>
      </c>
      <c r="AK9">
        <f t="shared" si="22"/>
        <v>3180</v>
      </c>
      <c r="AL9">
        <f t="shared" si="22"/>
        <v>3233</v>
      </c>
      <c r="AM9">
        <f t="shared" si="22"/>
        <v>3286</v>
      </c>
      <c r="AN9" s="5">
        <f t="shared" si="22"/>
        <v>3339</v>
      </c>
      <c r="AO9">
        <f t="shared" si="22"/>
        <v>3392</v>
      </c>
      <c r="AP9">
        <f t="shared" si="22"/>
        <v>3445</v>
      </c>
      <c r="AQ9">
        <f t="shared" si="22"/>
        <v>3498</v>
      </c>
      <c r="AR9">
        <f t="shared" si="22"/>
        <v>3551</v>
      </c>
      <c r="AS9">
        <f t="shared" si="22"/>
        <v>3604</v>
      </c>
      <c r="AT9">
        <f t="shared" si="22"/>
        <v>3657</v>
      </c>
      <c r="AU9">
        <f t="shared" si="22"/>
        <v>3710</v>
      </c>
      <c r="AV9">
        <f t="shared" si="22"/>
        <v>3763</v>
      </c>
      <c r="AW9">
        <f t="shared" si="22"/>
        <v>3816</v>
      </c>
      <c r="AX9">
        <f t="shared" si="22"/>
        <v>3869</v>
      </c>
      <c r="AY9">
        <f t="shared" si="22"/>
        <v>3922</v>
      </c>
      <c r="AZ9">
        <f t="shared" si="22"/>
        <v>3975</v>
      </c>
      <c r="BA9">
        <f t="shared" si="22"/>
        <v>4028</v>
      </c>
      <c r="BB9">
        <f t="shared" si="22"/>
        <v>4081</v>
      </c>
      <c r="BC9">
        <f t="shared" si="22"/>
        <v>4134</v>
      </c>
      <c r="BD9">
        <f t="shared" si="22"/>
        <v>4187</v>
      </c>
      <c r="BE9">
        <f t="shared" si="22"/>
        <v>4240</v>
      </c>
      <c r="BF9">
        <f t="shared" si="22"/>
        <v>4293</v>
      </c>
      <c r="BG9">
        <f t="shared" si="22"/>
        <v>4346</v>
      </c>
      <c r="BH9">
        <f t="shared" si="22"/>
        <v>4399</v>
      </c>
      <c r="BI9">
        <f t="shared" si="22"/>
        <v>4452</v>
      </c>
      <c r="BJ9">
        <f t="shared" si="22"/>
        <v>4505</v>
      </c>
      <c r="BK9">
        <f t="shared" si="22"/>
        <v>4558</v>
      </c>
      <c r="BL9">
        <f t="shared" si="22"/>
        <v>4611</v>
      </c>
      <c r="BM9">
        <f t="shared" si="22"/>
        <v>4664</v>
      </c>
      <c r="BN9">
        <f t="shared" si="22"/>
        <v>4717</v>
      </c>
      <c r="BO9">
        <f t="shared" ref="BO9:BT9" si="23">$B9+53*BO$1</f>
        <v>4770</v>
      </c>
      <c r="BP9">
        <f t="shared" si="23"/>
        <v>4823</v>
      </c>
      <c r="BQ9">
        <f t="shared" si="23"/>
        <v>4876</v>
      </c>
      <c r="BR9">
        <f t="shared" si="23"/>
        <v>4929</v>
      </c>
      <c r="BS9">
        <f t="shared" si="23"/>
        <v>4982</v>
      </c>
      <c r="BT9">
        <f t="shared" si="23"/>
        <v>5035</v>
      </c>
    </row>
    <row r="10" spans="1:72" x14ac:dyDescent="0.2">
      <c r="A10" t="s">
        <v>13</v>
      </c>
      <c r="B10" s="7">
        <v>1200</v>
      </c>
      <c r="C10" s="7">
        <f t="shared" ref="C10:AH10" si="24">$B10+48*C$1</f>
        <v>1248</v>
      </c>
      <c r="D10" s="7">
        <f t="shared" si="24"/>
        <v>1296</v>
      </c>
      <c r="E10" s="7">
        <f t="shared" si="24"/>
        <v>1344</v>
      </c>
      <c r="F10" s="7">
        <f t="shared" si="24"/>
        <v>1392</v>
      </c>
      <c r="G10" s="7">
        <f t="shared" si="24"/>
        <v>1440</v>
      </c>
      <c r="H10" s="7">
        <f t="shared" si="24"/>
        <v>1488</v>
      </c>
      <c r="I10" s="7">
        <f t="shared" si="24"/>
        <v>1536</v>
      </c>
      <c r="J10" s="7">
        <f t="shared" si="24"/>
        <v>1584</v>
      </c>
      <c r="K10" s="7">
        <f t="shared" si="24"/>
        <v>1632</v>
      </c>
      <c r="L10" s="7">
        <f t="shared" si="24"/>
        <v>1680</v>
      </c>
      <c r="M10" s="7">
        <f t="shared" si="24"/>
        <v>1728</v>
      </c>
      <c r="N10" s="7">
        <f t="shared" si="24"/>
        <v>1776</v>
      </c>
      <c r="O10" s="7">
        <f t="shared" si="24"/>
        <v>1824</v>
      </c>
      <c r="P10" s="7">
        <f t="shared" si="24"/>
        <v>1872</v>
      </c>
      <c r="Q10" s="7">
        <f t="shared" si="24"/>
        <v>1920</v>
      </c>
      <c r="R10" s="7">
        <f t="shared" si="24"/>
        <v>1968</v>
      </c>
      <c r="S10" s="7">
        <f t="shared" si="24"/>
        <v>2016</v>
      </c>
      <c r="T10" s="7">
        <f t="shared" si="24"/>
        <v>2064</v>
      </c>
      <c r="U10" s="7">
        <f t="shared" si="24"/>
        <v>2112</v>
      </c>
      <c r="V10" s="7">
        <f t="shared" si="24"/>
        <v>2160</v>
      </c>
      <c r="W10" s="7">
        <f t="shared" si="24"/>
        <v>2208</v>
      </c>
      <c r="X10" s="7">
        <f t="shared" si="24"/>
        <v>2256</v>
      </c>
      <c r="Y10" s="7">
        <f t="shared" si="24"/>
        <v>2304</v>
      </c>
      <c r="Z10" s="7">
        <f t="shared" si="24"/>
        <v>2352</v>
      </c>
      <c r="AA10" s="7">
        <f t="shared" si="24"/>
        <v>2400</v>
      </c>
      <c r="AB10" s="7">
        <f t="shared" si="24"/>
        <v>2448</v>
      </c>
      <c r="AC10" s="7">
        <f t="shared" si="24"/>
        <v>2496</v>
      </c>
      <c r="AD10" s="7">
        <f t="shared" si="24"/>
        <v>2544</v>
      </c>
      <c r="AE10" s="7">
        <f t="shared" si="24"/>
        <v>2592</v>
      </c>
      <c r="AF10" s="7">
        <f t="shared" si="24"/>
        <v>2640</v>
      </c>
      <c r="AG10" s="7">
        <f t="shared" si="24"/>
        <v>2688</v>
      </c>
      <c r="AH10" s="7">
        <f t="shared" si="24"/>
        <v>2736</v>
      </c>
      <c r="AI10" s="7">
        <f t="shared" ref="AI10:BN10" si="25">$B10+48*AI$1</f>
        <v>2784</v>
      </c>
      <c r="AJ10" s="7">
        <f t="shared" si="25"/>
        <v>2832</v>
      </c>
      <c r="AK10" s="7">
        <f t="shared" si="25"/>
        <v>2880</v>
      </c>
      <c r="AL10" s="7">
        <f t="shared" si="25"/>
        <v>2928</v>
      </c>
      <c r="AM10" s="7">
        <f t="shared" si="25"/>
        <v>2976</v>
      </c>
      <c r="AN10" s="7">
        <f t="shared" si="25"/>
        <v>3024</v>
      </c>
      <c r="AO10" s="7">
        <f t="shared" si="25"/>
        <v>3072</v>
      </c>
      <c r="AP10" s="7">
        <f t="shared" si="25"/>
        <v>3120</v>
      </c>
      <c r="AQ10" s="7">
        <f t="shared" si="25"/>
        <v>3168</v>
      </c>
      <c r="AR10" s="7">
        <f t="shared" si="25"/>
        <v>3216</v>
      </c>
      <c r="AS10" s="7">
        <f t="shared" si="25"/>
        <v>3264</v>
      </c>
      <c r="AT10" s="7">
        <f t="shared" si="25"/>
        <v>3312</v>
      </c>
      <c r="AU10" s="7">
        <f t="shared" si="25"/>
        <v>3360</v>
      </c>
      <c r="AV10" s="7">
        <f t="shared" si="25"/>
        <v>3408</v>
      </c>
      <c r="AW10" s="7">
        <f t="shared" si="25"/>
        <v>3456</v>
      </c>
      <c r="AX10" s="7">
        <f t="shared" si="25"/>
        <v>3504</v>
      </c>
      <c r="AY10" s="7">
        <f t="shared" si="25"/>
        <v>3552</v>
      </c>
      <c r="AZ10" s="7">
        <f t="shared" si="25"/>
        <v>3600</v>
      </c>
      <c r="BA10" s="7">
        <f t="shared" si="25"/>
        <v>3648</v>
      </c>
      <c r="BB10" s="7">
        <f t="shared" si="25"/>
        <v>3696</v>
      </c>
      <c r="BC10" s="7">
        <f t="shared" si="25"/>
        <v>3744</v>
      </c>
      <c r="BD10" s="7">
        <f t="shared" si="25"/>
        <v>3792</v>
      </c>
      <c r="BE10" s="7">
        <f t="shared" si="25"/>
        <v>3840</v>
      </c>
      <c r="BF10" s="7">
        <f t="shared" si="25"/>
        <v>3888</v>
      </c>
      <c r="BG10" s="7">
        <f t="shared" si="25"/>
        <v>3936</v>
      </c>
      <c r="BH10" s="7">
        <f t="shared" si="25"/>
        <v>3984</v>
      </c>
      <c r="BI10" s="7">
        <f t="shared" si="25"/>
        <v>4032</v>
      </c>
      <c r="BJ10" s="7">
        <f t="shared" si="25"/>
        <v>4080</v>
      </c>
      <c r="BK10" s="7">
        <f t="shared" si="25"/>
        <v>4128</v>
      </c>
      <c r="BL10" s="7">
        <f t="shared" si="25"/>
        <v>4176</v>
      </c>
      <c r="BM10" s="7">
        <f t="shared" si="25"/>
        <v>4224</v>
      </c>
      <c r="BN10" s="7">
        <f t="shared" si="25"/>
        <v>4272</v>
      </c>
      <c r="BO10" s="7">
        <f t="shared" ref="BO10:BT10" si="26">$B10+48*BO$1</f>
        <v>4320</v>
      </c>
      <c r="BP10" s="7">
        <f t="shared" si="26"/>
        <v>4368</v>
      </c>
      <c r="BQ10" s="7">
        <f t="shared" si="26"/>
        <v>4416</v>
      </c>
      <c r="BR10" s="7">
        <f t="shared" si="26"/>
        <v>4464</v>
      </c>
      <c r="BS10" s="7">
        <f t="shared" si="26"/>
        <v>4512</v>
      </c>
      <c r="BT10" s="7">
        <f t="shared" si="26"/>
        <v>4560</v>
      </c>
    </row>
    <row r="11" spans="1:72" x14ac:dyDescent="0.2">
      <c r="A11" t="s">
        <v>85</v>
      </c>
      <c r="C11">
        <f>$B11+81*C$1</f>
        <v>81</v>
      </c>
    </row>
    <row r="12" spans="1:72" x14ac:dyDescent="0.2">
      <c r="A12" t="s">
        <v>25</v>
      </c>
      <c r="B12" s="5">
        <v>1290</v>
      </c>
      <c r="C12" s="5">
        <f t="shared" ref="C12:AX12" si="27">$B12+51*C$1</f>
        <v>1341</v>
      </c>
      <c r="D12" s="5">
        <f t="shared" si="27"/>
        <v>1392</v>
      </c>
      <c r="E12" s="5">
        <f t="shared" si="27"/>
        <v>1443</v>
      </c>
      <c r="F12" s="5">
        <f t="shared" si="27"/>
        <v>1494</v>
      </c>
      <c r="G12" s="5">
        <f t="shared" si="27"/>
        <v>1545</v>
      </c>
      <c r="H12" s="5">
        <f t="shared" si="27"/>
        <v>1596</v>
      </c>
      <c r="I12" s="5">
        <f t="shared" si="27"/>
        <v>1647</v>
      </c>
      <c r="J12" s="5">
        <f t="shared" si="27"/>
        <v>1698</v>
      </c>
      <c r="K12" s="5">
        <f t="shared" si="27"/>
        <v>1749</v>
      </c>
      <c r="L12" s="5">
        <f t="shared" si="27"/>
        <v>1800</v>
      </c>
      <c r="M12" s="5">
        <f t="shared" si="27"/>
        <v>1851</v>
      </c>
      <c r="N12" s="5">
        <f t="shared" si="27"/>
        <v>1902</v>
      </c>
      <c r="O12" s="5">
        <f t="shared" si="27"/>
        <v>1953</v>
      </c>
      <c r="P12" s="5">
        <f t="shared" si="27"/>
        <v>2004</v>
      </c>
      <c r="Q12" s="5">
        <f t="shared" si="27"/>
        <v>2055</v>
      </c>
      <c r="R12" s="5">
        <f t="shared" si="27"/>
        <v>2106</v>
      </c>
      <c r="S12" s="5">
        <f t="shared" si="27"/>
        <v>2157</v>
      </c>
      <c r="T12" s="5">
        <f t="shared" si="27"/>
        <v>2208</v>
      </c>
      <c r="U12" s="5">
        <f t="shared" si="27"/>
        <v>2259</v>
      </c>
      <c r="V12" s="5">
        <f t="shared" si="27"/>
        <v>2310</v>
      </c>
      <c r="W12" s="5">
        <f t="shared" si="27"/>
        <v>2361</v>
      </c>
      <c r="X12" s="5">
        <f t="shared" si="27"/>
        <v>2412</v>
      </c>
      <c r="Y12" s="5">
        <f t="shared" si="27"/>
        <v>2463</v>
      </c>
      <c r="Z12" s="5">
        <f t="shared" si="27"/>
        <v>2514</v>
      </c>
      <c r="AA12" s="5">
        <f t="shared" si="27"/>
        <v>2565</v>
      </c>
      <c r="AB12" s="5">
        <f t="shared" si="27"/>
        <v>2616</v>
      </c>
      <c r="AC12" s="5">
        <f t="shared" si="27"/>
        <v>2667</v>
      </c>
      <c r="AD12" s="5">
        <f t="shared" si="27"/>
        <v>2718</v>
      </c>
      <c r="AE12" s="5">
        <f t="shared" si="27"/>
        <v>2769</v>
      </c>
      <c r="AF12" s="5">
        <f t="shared" si="27"/>
        <v>2820</v>
      </c>
      <c r="AG12" s="5">
        <f t="shared" si="27"/>
        <v>2871</v>
      </c>
      <c r="AH12" s="5">
        <f t="shared" si="27"/>
        <v>2922</v>
      </c>
      <c r="AI12" s="5">
        <f t="shared" si="27"/>
        <v>2973</v>
      </c>
      <c r="AJ12" s="5">
        <f t="shared" si="27"/>
        <v>3024</v>
      </c>
      <c r="AK12" s="5">
        <f t="shared" si="27"/>
        <v>3075</v>
      </c>
      <c r="AL12" s="5">
        <f t="shared" si="27"/>
        <v>3126</v>
      </c>
      <c r="AM12" s="5">
        <f t="shared" si="27"/>
        <v>3177</v>
      </c>
      <c r="AN12" s="5">
        <f t="shared" si="27"/>
        <v>3228</v>
      </c>
      <c r="AO12" s="5">
        <f t="shared" si="27"/>
        <v>3279</v>
      </c>
      <c r="AP12" s="5">
        <f t="shared" si="27"/>
        <v>3330</v>
      </c>
      <c r="AQ12" s="5">
        <f t="shared" si="27"/>
        <v>3381</v>
      </c>
      <c r="AR12" s="5">
        <f t="shared" si="27"/>
        <v>3432</v>
      </c>
      <c r="AS12" s="5">
        <f t="shared" si="27"/>
        <v>3483</v>
      </c>
      <c r="AT12" s="5">
        <f t="shared" si="27"/>
        <v>3534</v>
      </c>
      <c r="AU12" s="5">
        <f t="shared" si="27"/>
        <v>3585</v>
      </c>
      <c r="AV12" s="5">
        <f t="shared" si="27"/>
        <v>3636</v>
      </c>
      <c r="AW12" s="5">
        <f t="shared" si="27"/>
        <v>3687</v>
      </c>
      <c r="AX12" s="5">
        <f t="shared" si="27"/>
        <v>3738</v>
      </c>
      <c r="AY12" s="7">
        <v>3788</v>
      </c>
      <c r="AZ12" s="5">
        <f t="shared" ref="AZ12:BE12" si="28">$B12+51*AZ$1</f>
        <v>3840</v>
      </c>
      <c r="BA12" s="5">
        <f t="shared" si="28"/>
        <v>3891</v>
      </c>
      <c r="BB12" s="5">
        <f t="shared" si="28"/>
        <v>3942</v>
      </c>
      <c r="BC12" s="5">
        <f t="shared" si="28"/>
        <v>3993</v>
      </c>
      <c r="BD12" s="5">
        <f t="shared" si="28"/>
        <v>4044</v>
      </c>
      <c r="BE12" s="5">
        <f t="shared" si="28"/>
        <v>4095</v>
      </c>
      <c r="BF12" s="7">
        <v>4147</v>
      </c>
      <c r="BG12" s="5">
        <f>$B12+51*BG$1</f>
        <v>4197</v>
      </c>
      <c r="BH12" s="7">
        <v>4249</v>
      </c>
      <c r="BI12" s="5">
        <f t="shared" ref="BI12:BT12" si="29">$B12+51*BI$1</f>
        <v>4299</v>
      </c>
      <c r="BJ12" s="5">
        <f t="shared" si="29"/>
        <v>4350</v>
      </c>
      <c r="BK12" s="5">
        <f t="shared" si="29"/>
        <v>4401</v>
      </c>
      <c r="BL12" s="5">
        <f t="shared" si="29"/>
        <v>4452</v>
      </c>
      <c r="BM12" s="5">
        <f t="shared" si="29"/>
        <v>4503</v>
      </c>
      <c r="BN12" s="5">
        <f t="shared" si="29"/>
        <v>4554</v>
      </c>
      <c r="BO12" s="5">
        <f t="shared" si="29"/>
        <v>4605</v>
      </c>
      <c r="BP12" s="5">
        <f t="shared" si="29"/>
        <v>4656</v>
      </c>
      <c r="BQ12" s="5">
        <f t="shared" si="29"/>
        <v>4707</v>
      </c>
      <c r="BR12" s="5">
        <f t="shared" si="29"/>
        <v>4758</v>
      </c>
      <c r="BS12" s="5">
        <f t="shared" si="29"/>
        <v>4809</v>
      </c>
      <c r="BT12" s="5">
        <f t="shared" si="29"/>
        <v>4860</v>
      </c>
    </row>
    <row r="13" spans="1:72" x14ac:dyDescent="0.2">
      <c r="A13" t="s">
        <v>86</v>
      </c>
      <c r="B13" s="7">
        <v>1300</v>
      </c>
      <c r="C13" s="7">
        <f t="shared" ref="C13:AH13" si="30">$B13+52*C$1</f>
        <v>1352</v>
      </c>
      <c r="D13" s="7">
        <f t="shared" si="30"/>
        <v>1404</v>
      </c>
      <c r="E13" s="7">
        <f t="shared" si="30"/>
        <v>1456</v>
      </c>
      <c r="F13" s="7">
        <f t="shared" si="30"/>
        <v>1508</v>
      </c>
      <c r="G13" s="7">
        <f t="shared" si="30"/>
        <v>1560</v>
      </c>
      <c r="H13" s="7">
        <f t="shared" si="30"/>
        <v>1612</v>
      </c>
      <c r="I13" s="7">
        <f t="shared" si="30"/>
        <v>1664</v>
      </c>
      <c r="J13" s="7">
        <f t="shared" si="30"/>
        <v>1716</v>
      </c>
      <c r="K13" s="7">
        <f t="shared" si="30"/>
        <v>1768</v>
      </c>
      <c r="L13" s="7">
        <f t="shared" si="30"/>
        <v>1820</v>
      </c>
      <c r="M13" s="7">
        <f t="shared" si="30"/>
        <v>1872</v>
      </c>
      <c r="N13" s="7">
        <f t="shared" si="30"/>
        <v>1924</v>
      </c>
      <c r="O13" s="7">
        <f t="shared" si="30"/>
        <v>1976</v>
      </c>
      <c r="P13" s="7">
        <f t="shared" si="30"/>
        <v>2028</v>
      </c>
      <c r="Q13" s="7">
        <f t="shared" si="30"/>
        <v>2080</v>
      </c>
      <c r="R13" s="7">
        <f t="shared" si="30"/>
        <v>2132</v>
      </c>
      <c r="S13" s="7">
        <f t="shared" si="30"/>
        <v>2184</v>
      </c>
      <c r="T13" s="7">
        <f t="shared" si="30"/>
        <v>2236</v>
      </c>
      <c r="U13" s="7">
        <f t="shared" si="30"/>
        <v>2288</v>
      </c>
      <c r="V13" s="7">
        <f t="shared" si="30"/>
        <v>2340</v>
      </c>
      <c r="W13" s="7">
        <f t="shared" si="30"/>
        <v>2392</v>
      </c>
      <c r="X13" s="7">
        <f t="shared" si="30"/>
        <v>2444</v>
      </c>
      <c r="Y13" s="7">
        <f t="shared" si="30"/>
        <v>2496</v>
      </c>
      <c r="Z13" s="7">
        <f t="shared" si="30"/>
        <v>2548</v>
      </c>
      <c r="AA13" s="7">
        <f t="shared" si="30"/>
        <v>2600</v>
      </c>
      <c r="AB13" s="7">
        <f t="shared" si="30"/>
        <v>2652</v>
      </c>
      <c r="AC13" s="7">
        <f t="shared" si="30"/>
        <v>2704</v>
      </c>
      <c r="AD13" s="7">
        <f t="shared" si="30"/>
        <v>2756</v>
      </c>
      <c r="AE13" s="7">
        <f t="shared" si="30"/>
        <v>2808</v>
      </c>
      <c r="AF13" s="7">
        <f t="shared" si="30"/>
        <v>2860</v>
      </c>
      <c r="AG13" s="7">
        <f t="shared" si="30"/>
        <v>2912</v>
      </c>
      <c r="AH13" s="7">
        <f t="shared" si="30"/>
        <v>2964</v>
      </c>
      <c r="AI13" s="7">
        <f t="shared" ref="AI13:BN13" si="31">$B13+52*AI$1</f>
        <v>3016</v>
      </c>
      <c r="AJ13" s="7">
        <f t="shared" si="31"/>
        <v>3068</v>
      </c>
      <c r="AK13" s="7">
        <f t="shared" si="31"/>
        <v>3120</v>
      </c>
      <c r="AL13" s="7">
        <f t="shared" si="31"/>
        <v>3172</v>
      </c>
      <c r="AM13" s="7">
        <f t="shared" si="31"/>
        <v>3224</v>
      </c>
      <c r="AN13" s="7">
        <f t="shared" si="31"/>
        <v>3276</v>
      </c>
      <c r="AO13" s="7">
        <f t="shared" si="31"/>
        <v>3328</v>
      </c>
      <c r="AP13" s="7">
        <f t="shared" si="31"/>
        <v>3380</v>
      </c>
      <c r="AQ13" s="7">
        <f t="shared" si="31"/>
        <v>3432</v>
      </c>
      <c r="AR13" s="7">
        <f t="shared" si="31"/>
        <v>3484</v>
      </c>
      <c r="AS13" s="7">
        <f t="shared" si="31"/>
        <v>3536</v>
      </c>
      <c r="AT13" s="7">
        <f t="shared" si="31"/>
        <v>3588</v>
      </c>
      <c r="AU13" s="7">
        <f t="shared" si="31"/>
        <v>3640</v>
      </c>
      <c r="AV13" s="7">
        <f t="shared" si="31"/>
        <v>3692</v>
      </c>
      <c r="AW13" s="7">
        <f t="shared" si="31"/>
        <v>3744</v>
      </c>
      <c r="AX13" s="7">
        <f t="shared" si="31"/>
        <v>3796</v>
      </c>
      <c r="AY13" s="7">
        <f t="shared" si="31"/>
        <v>3848</v>
      </c>
      <c r="AZ13" s="7">
        <f t="shared" si="31"/>
        <v>3900</v>
      </c>
      <c r="BA13" s="7">
        <f t="shared" si="31"/>
        <v>3952</v>
      </c>
      <c r="BB13" s="7">
        <f t="shared" si="31"/>
        <v>4004</v>
      </c>
      <c r="BC13" s="7">
        <f t="shared" si="31"/>
        <v>4056</v>
      </c>
      <c r="BD13" s="7">
        <f t="shared" si="31"/>
        <v>4108</v>
      </c>
      <c r="BE13" s="7">
        <f t="shared" si="31"/>
        <v>4160</v>
      </c>
      <c r="BF13" s="7">
        <f t="shared" si="31"/>
        <v>4212</v>
      </c>
      <c r="BG13" s="7">
        <f t="shared" si="31"/>
        <v>4264</v>
      </c>
      <c r="BH13" s="7">
        <f t="shared" si="31"/>
        <v>4316</v>
      </c>
      <c r="BI13" s="7">
        <f t="shared" si="31"/>
        <v>4368</v>
      </c>
      <c r="BJ13" s="7">
        <f t="shared" si="31"/>
        <v>4420</v>
      </c>
      <c r="BK13" s="7">
        <f t="shared" si="31"/>
        <v>4472</v>
      </c>
      <c r="BL13" s="7">
        <f t="shared" si="31"/>
        <v>4524</v>
      </c>
      <c r="BM13" s="7">
        <f t="shared" si="31"/>
        <v>4576</v>
      </c>
      <c r="BN13" s="7">
        <f t="shared" si="31"/>
        <v>4628</v>
      </c>
      <c r="BO13" s="7">
        <f t="shared" ref="BO13:BT13" si="32">$B13+52*BO$1</f>
        <v>4680</v>
      </c>
      <c r="BP13" s="7">
        <f t="shared" si="32"/>
        <v>4732</v>
      </c>
      <c r="BQ13" s="7">
        <f t="shared" si="32"/>
        <v>4784</v>
      </c>
      <c r="BR13" s="7">
        <f t="shared" si="32"/>
        <v>4836</v>
      </c>
      <c r="BS13" s="7">
        <f t="shared" si="32"/>
        <v>4888</v>
      </c>
      <c r="BT13" s="7">
        <f t="shared" si="32"/>
        <v>4940</v>
      </c>
    </row>
    <row r="14" spans="1:72" x14ac:dyDescent="0.2">
      <c r="A14" t="s">
        <v>87</v>
      </c>
      <c r="B14" s="7">
        <v>1000</v>
      </c>
      <c r="C14" s="7">
        <f t="shared" ref="C14:AH14" si="33">$B14+60*C$1</f>
        <v>1060</v>
      </c>
      <c r="D14" s="7">
        <f t="shared" si="33"/>
        <v>1120</v>
      </c>
      <c r="E14" s="7">
        <f t="shared" si="33"/>
        <v>1180</v>
      </c>
      <c r="F14" s="7">
        <f t="shared" si="33"/>
        <v>1240</v>
      </c>
      <c r="G14" s="7">
        <f t="shared" si="33"/>
        <v>1300</v>
      </c>
      <c r="H14" s="7">
        <f t="shared" si="33"/>
        <v>1360</v>
      </c>
      <c r="I14" s="7">
        <f t="shared" si="33"/>
        <v>1420</v>
      </c>
      <c r="J14" s="7">
        <f t="shared" si="33"/>
        <v>1480</v>
      </c>
      <c r="K14" s="7">
        <f t="shared" si="33"/>
        <v>1540</v>
      </c>
      <c r="L14" s="7">
        <f t="shared" si="33"/>
        <v>1600</v>
      </c>
      <c r="M14" s="7">
        <f t="shared" si="33"/>
        <v>1660</v>
      </c>
      <c r="N14" s="7">
        <f t="shared" si="33"/>
        <v>1720</v>
      </c>
      <c r="O14" s="7">
        <f t="shared" si="33"/>
        <v>1780</v>
      </c>
      <c r="P14" s="7">
        <f t="shared" si="33"/>
        <v>1840</v>
      </c>
      <c r="Q14" s="7">
        <f t="shared" si="33"/>
        <v>1900</v>
      </c>
      <c r="R14" s="7">
        <f t="shared" si="33"/>
        <v>1960</v>
      </c>
      <c r="S14" s="7">
        <f t="shared" si="33"/>
        <v>2020</v>
      </c>
      <c r="T14" s="7">
        <f t="shared" si="33"/>
        <v>2080</v>
      </c>
      <c r="U14" s="7">
        <f t="shared" si="33"/>
        <v>2140</v>
      </c>
      <c r="V14" s="7">
        <f t="shared" si="33"/>
        <v>2200</v>
      </c>
      <c r="W14" s="7">
        <f t="shared" si="33"/>
        <v>2260</v>
      </c>
      <c r="X14" s="7">
        <f t="shared" si="33"/>
        <v>2320</v>
      </c>
      <c r="Y14" s="7">
        <f t="shared" si="33"/>
        <v>2380</v>
      </c>
      <c r="Z14" s="7">
        <f t="shared" si="33"/>
        <v>2440</v>
      </c>
      <c r="AA14" s="7">
        <f t="shared" si="33"/>
        <v>2500</v>
      </c>
      <c r="AB14" s="7">
        <f t="shared" si="33"/>
        <v>2560</v>
      </c>
      <c r="AC14" s="7">
        <f t="shared" si="33"/>
        <v>2620</v>
      </c>
      <c r="AD14" s="7">
        <f t="shared" si="33"/>
        <v>2680</v>
      </c>
      <c r="AE14" s="7">
        <f t="shared" si="33"/>
        <v>2740</v>
      </c>
      <c r="AF14" s="7">
        <f t="shared" si="33"/>
        <v>2800</v>
      </c>
      <c r="AG14" s="7">
        <f t="shared" si="33"/>
        <v>2860</v>
      </c>
      <c r="AH14" s="7">
        <f t="shared" si="33"/>
        <v>2920</v>
      </c>
      <c r="AI14" s="7">
        <f t="shared" ref="AI14:BN14" si="34">$B14+60*AI$1</f>
        <v>2980</v>
      </c>
      <c r="AJ14" s="7">
        <f t="shared" si="34"/>
        <v>3040</v>
      </c>
      <c r="AK14" s="7">
        <f t="shared" si="34"/>
        <v>3100</v>
      </c>
      <c r="AL14" s="7">
        <f t="shared" si="34"/>
        <v>3160</v>
      </c>
      <c r="AM14" s="7">
        <f t="shared" si="34"/>
        <v>3220</v>
      </c>
      <c r="AN14" s="7">
        <f t="shared" si="34"/>
        <v>3280</v>
      </c>
      <c r="AO14" s="7">
        <f t="shared" si="34"/>
        <v>3340</v>
      </c>
      <c r="AP14" s="7">
        <f t="shared" si="34"/>
        <v>3400</v>
      </c>
      <c r="AQ14" s="7">
        <f t="shared" si="34"/>
        <v>3460</v>
      </c>
      <c r="AR14" s="7">
        <f t="shared" si="34"/>
        <v>3520</v>
      </c>
      <c r="AS14" s="7">
        <f t="shared" si="34"/>
        <v>3580</v>
      </c>
      <c r="AT14" s="7">
        <f t="shared" si="34"/>
        <v>3640</v>
      </c>
      <c r="AU14" s="7">
        <f t="shared" si="34"/>
        <v>3700</v>
      </c>
      <c r="AV14" s="7">
        <f t="shared" si="34"/>
        <v>3760</v>
      </c>
      <c r="AW14" s="7">
        <f t="shared" si="34"/>
        <v>3820</v>
      </c>
      <c r="AX14" s="7">
        <f t="shared" si="34"/>
        <v>3880</v>
      </c>
      <c r="AY14" s="7">
        <f t="shared" si="34"/>
        <v>3940</v>
      </c>
      <c r="AZ14" s="7">
        <f t="shared" si="34"/>
        <v>4000</v>
      </c>
      <c r="BA14" s="7">
        <f t="shared" si="34"/>
        <v>4060</v>
      </c>
      <c r="BB14" s="7">
        <f t="shared" si="34"/>
        <v>4120</v>
      </c>
      <c r="BC14" s="7">
        <f t="shared" si="34"/>
        <v>4180</v>
      </c>
      <c r="BD14" s="7">
        <f t="shared" si="34"/>
        <v>4240</v>
      </c>
      <c r="BE14" s="7">
        <f t="shared" si="34"/>
        <v>4300</v>
      </c>
      <c r="BF14" s="7">
        <f t="shared" si="34"/>
        <v>4360</v>
      </c>
      <c r="BG14" s="7">
        <f t="shared" si="34"/>
        <v>4420</v>
      </c>
      <c r="BH14" s="7">
        <f t="shared" si="34"/>
        <v>4480</v>
      </c>
      <c r="BI14" s="7">
        <f t="shared" si="34"/>
        <v>4540</v>
      </c>
      <c r="BJ14" s="7">
        <f t="shared" si="34"/>
        <v>4600</v>
      </c>
      <c r="BK14" s="7">
        <f t="shared" si="34"/>
        <v>4660</v>
      </c>
      <c r="BL14" s="7">
        <f t="shared" si="34"/>
        <v>4720</v>
      </c>
      <c r="BM14" s="7">
        <f t="shared" si="34"/>
        <v>4780</v>
      </c>
      <c r="BN14" s="7">
        <f t="shared" si="34"/>
        <v>4840</v>
      </c>
      <c r="BO14" s="7">
        <f t="shared" ref="BO14:BT14" si="35">$B14+60*BO$1</f>
        <v>4900</v>
      </c>
      <c r="BP14" s="7">
        <f t="shared" si="35"/>
        <v>4960</v>
      </c>
      <c r="BQ14" s="7">
        <f t="shared" si="35"/>
        <v>5020</v>
      </c>
      <c r="BR14" s="7">
        <f t="shared" si="35"/>
        <v>5080</v>
      </c>
      <c r="BS14" s="7">
        <f t="shared" si="35"/>
        <v>5140</v>
      </c>
      <c r="BT14" s="7">
        <f t="shared" si="35"/>
        <v>5200</v>
      </c>
    </row>
    <row r="15" spans="1:72" x14ac:dyDescent="0.2">
      <c r="A15" t="s">
        <v>47</v>
      </c>
      <c r="BI15" s="5">
        <v>5376</v>
      </c>
    </row>
    <row r="16" spans="1:72" x14ac:dyDescent="0.2">
      <c r="A16" t="s">
        <v>48</v>
      </c>
      <c r="BI16" s="5">
        <v>5241</v>
      </c>
    </row>
    <row r="17" spans="1:72" x14ac:dyDescent="0.2">
      <c r="A17" t="s">
        <v>88</v>
      </c>
      <c r="B17" s="7">
        <v>1600</v>
      </c>
      <c r="C17" s="7">
        <f t="shared" ref="C17:AH17" si="36">$B17+64*C$1</f>
        <v>1664</v>
      </c>
      <c r="D17" s="7">
        <f t="shared" si="36"/>
        <v>1728</v>
      </c>
      <c r="E17" s="7">
        <f t="shared" si="36"/>
        <v>1792</v>
      </c>
      <c r="F17" s="7">
        <f t="shared" si="36"/>
        <v>1856</v>
      </c>
      <c r="G17" s="7">
        <f t="shared" si="36"/>
        <v>1920</v>
      </c>
      <c r="H17" s="7">
        <f t="shared" si="36"/>
        <v>1984</v>
      </c>
      <c r="I17" s="7">
        <f t="shared" si="36"/>
        <v>2048</v>
      </c>
      <c r="J17" s="7">
        <f t="shared" si="36"/>
        <v>2112</v>
      </c>
      <c r="K17" s="7">
        <f t="shared" si="36"/>
        <v>2176</v>
      </c>
      <c r="L17" s="7">
        <f t="shared" si="36"/>
        <v>2240</v>
      </c>
      <c r="M17" s="7">
        <f t="shared" si="36"/>
        <v>2304</v>
      </c>
      <c r="N17" s="7">
        <f t="shared" si="36"/>
        <v>2368</v>
      </c>
      <c r="O17" s="7">
        <f t="shared" si="36"/>
        <v>2432</v>
      </c>
      <c r="P17" s="7">
        <f t="shared" si="36"/>
        <v>2496</v>
      </c>
      <c r="Q17" s="7">
        <f t="shared" si="36"/>
        <v>2560</v>
      </c>
      <c r="R17" s="7">
        <f t="shared" si="36"/>
        <v>2624</v>
      </c>
      <c r="S17" s="7">
        <f t="shared" si="36"/>
        <v>2688</v>
      </c>
      <c r="T17" s="7">
        <f t="shared" si="36"/>
        <v>2752</v>
      </c>
      <c r="U17" s="7">
        <f t="shared" si="36"/>
        <v>2816</v>
      </c>
      <c r="V17" s="7">
        <f t="shared" si="36"/>
        <v>2880</v>
      </c>
      <c r="W17" s="7">
        <f t="shared" si="36"/>
        <v>2944</v>
      </c>
      <c r="X17" s="7">
        <f t="shared" si="36"/>
        <v>3008</v>
      </c>
      <c r="Y17" s="7">
        <f t="shared" si="36"/>
        <v>3072</v>
      </c>
      <c r="Z17" s="7">
        <f t="shared" si="36"/>
        <v>3136</v>
      </c>
      <c r="AA17" s="7">
        <f t="shared" si="36"/>
        <v>3200</v>
      </c>
      <c r="AB17" s="7">
        <f t="shared" si="36"/>
        <v>3264</v>
      </c>
      <c r="AC17" s="7">
        <f t="shared" si="36"/>
        <v>3328</v>
      </c>
      <c r="AD17" s="7">
        <f t="shared" si="36"/>
        <v>3392</v>
      </c>
      <c r="AE17" s="7">
        <f t="shared" si="36"/>
        <v>3456</v>
      </c>
      <c r="AF17" s="7">
        <f t="shared" si="36"/>
        <v>3520</v>
      </c>
      <c r="AG17" s="7">
        <f t="shared" si="36"/>
        <v>3584</v>
      </c>
      <c r="AH17" s="7">
        <f t="shared" si="36"/>
        <v>3648</v>
      </c>
      <c r="AI17" s="7">
        <f t="shared" ref="AI17:BN17" si="37">$B17+64*AI$1</f>
        <v>3712</v>
      </c>
      <c r="AJ17" s="7">
        <f t="shared" si="37"/>
        <v>3776</v>
      </c>
      <c r="AK17" s="7">
        <f t="shared" si="37"/>
        <v>3840</v>
      </c>
      <c r="AL17" s="7">
        <f t="shared" si="37"/>
        <v>3904</v>
      </c>
      <c r="AM17" s="7">
        <f t="shared" si="37"/>
        <v>3968</v>
      </c>
      <c r="AN17" s="7">
        <f t="shared" si="37"/>
        <v>4032</v>
      </c>
      <c r="AO17" s="7">
        <f t="shared" si="37"/>
        <v>4096</v>
      </c>
      <c r="AP17" s="7">
        <f t="shared" si="37"/>
        <v>4160</v>
      </c>
      <c r="AQ17" s="7">
        <f t="shared" si="37"/>
        <v>4224</v>
      </c>
      <c r="AR17" s="7">
        <f t="shared" si="37"/>
        <v>4288</v>
      </c>
      <c r="AS17" s="7">
        <f t="shared" si="37"/>
        <v>4352</v>
      </c>
      <c r="AT17" s="7">
        <f t="shared" si="37"/>
        <v>4416</v>
      </c>
      <c r="AU17" s="7">
        <f t="shared" si="37"/>
        <v>4480</v>
      </c>
      <c r="AV17" s="7">
        <f t="shared" si="37"/>
        <v>4544</v>
      </c>
      <c r="AW17" s="7">
        <f t="shared" si="37"/>
        <v>4608</v>
      </c>
      <c r="AX17" s="7">
        <f t="shared" si="37"/>
        <v>4672</v>
      </c>
      <c r="AY17" s="7">
        <f t="shared" si="37"/>
        <v>4736</v>
      </c>
      <c r="AZ17" s="7">
        <f t="shared" si="37"/>
        <v>4800</v>
      </c>
      <c r="BA17" s="7">
        <f t="shared" si="37"/>
        <v>4864</v>
      </c>
      <c r="BB17" s="7">
        <f t="shared" si="37"/>
        <v>4928</v>
      </c>
      <c r="BC17" s="7">
        <f t="shared" si="37"/>
        <v>4992</v>
      </c>
      <c r="BD17" s="7">
        <f t="shared" si="37"/>
        <v>5056</v>
      </c>
      <c r="BE17" s="7">
        <f t="shared" si="37"/>
        <v>5120</v>
      </c>
      <c r="BF17" s="7">
        <f t="shared" si="37"/>
        <v>5184</v>
      </c>
      <c r="BG17" s="7">
        <f t="shared" si="37"/>
        <v>5248</v>
      </c>
      <c r="BH17" s="7">
        <f t="shared" si="37"/>
        <v>5312</v>
      </c>
      <c r="BI17" s="7">
        <f t="shared" si="37"/>
        <v>5376</v>
      </c>
      <c r="BJ17" s="7">
        <f t="shared" si="37"/>
        <v>5440</v>
      </c>
      <c r="BK17" s="7">
        <f t="shared" si="37"/>
        <v>5504</v>
      </c>
      <c r="BL17" s="7">
        <f t="shared" si="37"/>
        <v>5568</v>
      </c>
      <c r="BM17" s="7">
        <f t="shared" si="37"/>
        <v>5632</v>
      </c>
      <c r="BN17" s="7">
        <f t="shared" si="37"/>
        <v>5696</v>
      </c>
      <c r="BO17" s="7">
        <f t="shared" ref="BO17:BT17" si="38">$B17+64*BO$1</f>
        <v>5760</v>
      </c>
      <c r="BP17" s="7">
        <f t="shared" si="38"/>
        <v>5824</v>
      </c>
      <c r="BQ17" s="7">
        <f t="shared" si="38"/>
        <v>5888</v>
      </c>
      <c r="BR17" s="7">
        <f t="shared" si="38"/>
        <v>5952</v>
      </c>
      <c r="BS17" s="7">
        <f t="shared" si="38"/>
        <v>6016</v>
      </c>
      <c r="BT17" s="7">
        <f t="shared" si="38"/>
        <v>6080</v>
      </c>
    </row>
    <row r="18" spans="1:72" x14ac:dyDescent="0.2">
      <c r="A18" t="s">
        <v>89</v>
      </c>
      <c r="B18" s="7">
        <v>1250</v>
      </c>
      <c r="C18" s="7">
        <f t="shared" ref="C18:AH18" si="39">$B18+50*C$1</f>
        <v>1300</v>
      </c>
      <c r="D18" s="7">
        <f t="shared" si="39"/>
        <v>1350</v>
      </c>
      <c r="E18" s="7">
        <f t="shared" si="39"/>
        <v>1400</v>
      </c>
      <c r="F18" s="7">
        <f t="shared" si="39"/>
        <v>1450</v>
      </c>
      <c r="G18" s="7">
        <f t="shared" si="39"/>
        <v>1500</v>
      </c>
      <c r="H18" s="7">
        <f t="shared" si="39"/>
        <v>1550</v>
      </c>
      <c r="I18" s="7">
        <f t="shared" si="39"/>
        <v>1600</v>
      </c>
      <c r="J18" s="7">
        <f t="shared" si="39"/>
        <v>1650</v>
      </c>
      <c r="K18" s="7">
        <f t="shared" si="39"/>
        <v>1700</v>
      </c>
      <c r="L18" s="7">
        <f t="shared" si="39"/>
        <v>1750</v>
      </c>
      <c r="M18" s="7">
        <f t="shared" si="39"/>
        <v>1800</v>
      </c>
      <c r="N18" s="7">
        <f t="shared" si="39"/>
        <v>1850</v>
      </c>
      <c r="O18" s="7">
        <f t="shared" si="39"/>
        <v>1900</v>
      </c>
      <c r="P18" s="7">
        <f t="shared" si="39"/>
        <v>1950</v>
      </c>
      <c r="Q18" s="7">
        <f t="shared" si="39"/>
        <v>2000</v>
      </c>
      <c r="R18" s="7">
        <f t="shared" si="39"/>
        <v>2050</v>
      </c>
      <c r="S18" s="7">
        <f t="shared" si="39"/>
        <v>2100</v>
      </c>
      <c r="T18" s="7">
        <f t="shared" si="39"/>
        <v>2150</v>
      </c>
      <c r="U18" s="7">
        <f t="shared" si="39"/>
        <v>2200</v>
      </c>
      <c r="V18" s="7">
        <f t="shared" si="39"/>
        <v>2250</v>
      </c>
      <c r="W18" s="7">
        <f t="shared" si="39"/>
        <v>2300</v>
      </c>
      <c r="X18" s="7">
        <f t="shared" si="39"/>
        <v>2350</v>
      </c>
      <c r="Y18" s="7">
        <f t="shared" si="39"/>
        <v>2400</v>
      </c>
      <c r="Z18" s="7">
        <f t="shared" si="39"/>
        <v>2450</v>
      </c>
      <c r="AA18" s="7">
        <f t="shared" si="39"/>
        <v>2500</v>
      </c>
      <c r="AB18" s="7">
        <f t="shared" si="39"/>
        <v>2550</v>
      </c>
      <c r="AC18" s="7">
        <f t="shared" si="39"/>
        <v>2600</v>
      </c>
      <c r="AD18" s="7">
        <f t="shared" si="39"/>
        <v>2650</v>
      </c>
      <c r="AE18" s="7">
        <f t="shared" si="39"/>
        <v>2700</v>
      </c>
      <c r="AF18" s="7">
        <f t="shared" si="39"/>
        <v>2750</v>
      </c>
      <c r="AG18" s="7">
        <f t="shared" si="39"/>
        <v>2800</v>
      </c>
      <c r="AH18" s="7">
        <f t="shared" si="39"/>
        <v>2850</v>
      </c>
      <c r="AI18" s="7">
        <f t="shared" ref="AI18:BN18" si="40">$B18+50*AI$1</f>
        <v>2900</v>
      </c>
      <c r="AJ18" s="7">
        <f t="shared" si="40"/>
        <v>2950</v>
      </c>
      <c r="AK18" s="7">
        <f t="shared" si="40"/>
        <v>3000</v>
      </c>
      <c r="AL18" s="7">
        <f t="shared" si="40"/>
        <v>3050</v>
      </c>
      <c r="AM18" s="7">
        <f t="shared" si="40"/>
        <v>3100</v>
      </c>
      <c r="AN18" s="7">
        <f t="shared" si="40"/>
        <v>3150</v>
      </c>
      <c r="AO18" s="7">
        <f t="shared" si="40"/>
        <v>3200</v>
      </c>
      <c r="AP18" s="7">
        <f t="shared" si="40"/>
        <v>3250</v>
      </c>
      <c r="AQ18" s="7">
        <f t="shared" si="40"/>
        <v>3300</v>
      </c>
      <c r="AR18" s="7">
        <f t="shared" si="40"/>
        <v>3350</v>
      </c>
      <c r="AS18" s="7">
        <f t="shared" si="40"/>
        <v>3400</v>
      </c>
      <c r="AT18" s="7">
        <f t="shared" si="40"/>
        <v>3450</v>
      </c>
      <c r="AU18" s="7">
        <f t="shared" si="40"/>
        <v>3500</v>
      </c>
      <c r="AV18" s="7">
        <f t="shared" si="40"/>
        <v>3550</v>
      </c>
      <c r="AW18" s="7">
        <f t="shared" si="40"/>
        <v>3600</v>
      </c>
      <c r="AX18" s="7">
        <f t="shared" si="40"/>
        <v>3650</v>
      </c>
      <c r="AY18" s="7">
        <f t="shared" si="40"/>
        <v>3700</v>
      </c>
      <c r="AZ18" s="7">
        <f t="shared" si="40"/>
        <v>3750</v>
      </c>
      <c r="BA18" s="7">
        <f t="shared" si="40"/>
        <v>3800</v>
      </c>
      <c r="BB18" s="7">
        <f t="shared" si="40"/>
        <v>3850</v>
      </c>
      <c r="BC18" s="7">
        <f t="shared" si="40"/>
        <v>3900</v>
      </c>
      <c r="BD18" s="7">
        <f t="shared" si="40"/>
        <v>3950</v>
      </c>
      <c r="BE18" s="7">
        <f t="shared" si="40"/>
        <v>4000</v>
      </c>
      <c r="BF18" s="7">
        <f t="shared" si="40"/>
        <v>4050</v>
      </c>
      <c r="BG18" s="7">
        <f t="shared" si="40"/>
        <v>4100</v>
      </c>
      <c r="BH18" s="7">
        <f t="shared" si="40"/>
        <v>4150</v>
      </c>
      <c r="BI18" s="7">
        <f t="shared" si="40"/>
        <v>4200</v>
      </c>
      <c r="BJ18" s="7">
        <f t="shared" si="40"/>
        <v>4250</v>
      </c>
      <c r="BK18" s="7">
        <f t="shared" si="40"/>
        <v>4300</v>
      </c>
      <c r="BL18" s="7">
        <f t="shared" si="40"/>
        <v>4350</v>
      </c>
      <c r="BM18" s="7">
        <f t="shared" si="40"/>
        <v>4400</v>
      </c>
      <c r="BN18" s="7">
        <f t="shared" si="40"/>
        <v>4450</v>
      </c>
      <c r="BO18" s="7">
        <f t="shared" ref="BO18:BT18" si="41">$B18+50*BO$1</f>
        <v>4500</v>
      </c>
      <c r="BP18" s="7">
        <f t="shared" si="41"/>
        <v>4550</v>
      </c>
      <c r="BQ18" s="7">
        <f t="shared" si="41"/>
        <v>4600</v>
      </c>
      <c r="BR18" s="7">
        <f t="shared" si="41"/>
        <v>4650</v>
      </c>
      <c r="BS18" s="7">
        <f t="shared" si="41"/>
        <v>4700</v>
      </c>
      <c r="BT18" s="7">
        <f t="shared" si="41"/>
        <v>4750</v>
      </c>
    </row>
    <row r="19" spans="1:72" x14ac:dyDescent="0.2">
      <c r="A19" t="s">
        <v>90</v>
      </c>
      <c r="B19">
        <v>1515</v>
      </c>
      <c r="C19">
        <f>$B19+62*C$1</f>
        <v>1577</v>
      </c>
      <c r="AV19" s="6">
        <v>4429</v>
      </c>
      <c r="AW19" s="6">
        <v>4492</v>
      </c>
      <c r="AX19" s="6">
        <v>4554</v>
      </c>
      <c r="AY19" s="5">
        <v>4617</v>
      </c>
      <c r="BC19" s="6">
        <v>4867</v>
      </c>
      <c r="BE19" s="6">
        <v>4992</v>
      </c>
      <c r="BF19" s="5">
        <v>5054</v>
      </c>
    </row>
    <row r="20" spans="1:72" x14ac:dyDescent="0.2">
      <c r="A20" t="s">
        <v>91</v>
      </c>
      <c r="B20">
        <v>1600</v>
      </c>
      <c r="C20">
        <f t="shared" ref="C20:AH20" si="42">$B20+64*C1</f>
        <v>1664</v>
      </c>
      <c r="D20">
        <f t="shared" si="42"/>
        <v>1728</v>
      </c>
      <c r="E20">
        <f t="shared" si="42"/>
        <v>1792</v>
      </c>
      <c r="F20">
        <f t="shared" si="42"/>
        <v>1856</v>
      </c>
      <c r="G20">
        <f t="shared" si="42"/>
        <v>1920</v>
      </c>
      <c r="H20">
        <f t="shared" si="42"/>
        <v>1984</v>
      </c>
      <c r="I20">
        <f t="shared" si="42"/>
        <v>2048</v>
      </c>
      <c r="J20">
        <f t="shared" si="42"/>
        <v>2112</v>
      </c>
      <c r="K20">
        <f t="shared" si="42"/>
        <v>2176</v>
      </c>
      <c r="L20">
        <f t="shared" si="42"/>
        <v>2240</v>
      </c>
      <c r="M20">
        <f t="shared" si="42"/>
        <v>2304</v>
      </c>
      <c r="N20">
        <f t="shared" si="42"/>
        <v>2368</v>
      </c>
      <c r="O20">
        <f t="shared" si="42"/>
        <v>2432</v>
      </c>
      <c r="P20">
        <f t="shared" si="42"/>
        <v>2496</v>
      </c>
      <c r="Q20">
        <f t="shared" si="42"/>
        <v>2560</v>
      </c>
      <c r="R20">
        <f t="shared" si="42"/>
        <v>2624</v>
      </c>
      <c r="S20">
        <f t="shared" si="42"/>
        <v>2688</v>
      </c>
      <c r="T20">
        <f t="shared" si="42"/>
        <v>2752</v>
      </c>
      <c r="U20">
        <f t="shared" si="42"/>
        <v>2816</v>
      </c>
      <c r="V20">
        <f t="shared" si="42"/>
        <v>2880</v>
      </c>
      <c r="W20">
        <f t="shared" si="42"/>
        <v>2944</v>
      </c>
      <c r="X20">
        <f t="shared" si="42"/>
        <v>3008</v>
      </c>
      <c r="Y20">
        <f t="shared" si="42"/>
        <v>3072</v>
      </c>
      <c r="Z20">
        <f t="shared" si="42"/>
        <v>3136</v>
      </c>
      <c r="AA20">
        <f t="shared" si="42"/>
        <v>3200</v>
      </c>
      <c r="AB20">
        <f t="shared" si="42"/>
        <v>3264</v>
      </c>
      <c r="AC20">
        <f t="shared" si="42"/>
        <v>3328</v>
      </c>
      <c r="AD20">
        <f t="shared" si="42"/>
        <v>3392</v>
      </c>
      <c r="AE20">
        <f t="shared" si="42"/>
        <v>3456</v>
      </c>
      <c r="AF20">
        <f t="shared" si="42"/>
        <v>3520</v>
      </c>
      <c r="AG20">
        <f t="shared" si="42"/>
        <v>3584</v>
      </c>
      <c r="AH20">
        <f t="shared" si="42"/>
        <v>3648</v>
      </c>
      <c r="AI20">
        <f t="shared" ref="AI20:BN20" si="43">$B20+64*AI1</f>
        <v>3712</v>
      </c>
      <c r="AJ20">
        <f t="shared" si="43"/>
        <v>3776</v>
      </c>
      <c r="AK20">
        <f t="shared" si="43"/>
        <v>3840</v>
      </c>
      <c r="AL20">
        <f t="shared" si="43"/>
        <v>3904</v>
      </c>
      <c r="AM20">
        <f t="shared" si="43"/>
        <v>3968</v>
      </c>
      <c r="AN20">
        <f t="shared" si="43"/>
        <v>4032</v>
      </c>
      <c r="AO20">
        <f t="shared" si="43"/>
        <v>4096</v>
      </c>
      <c r="AP20">
        <f t="shared" si="43"/>
        <v>4160</v>
      </c>
      <c r="AQ20">
        <f t="shared" si="43"/>
        <v>4224</v>
      </c>
      <c r="AR20">
        <f t="shared" si="43"/>
        <v>4288</v>
      </c>
      <c r="AS20">
        <f t="shared" si="43"/>
        <v>4352</v>
      </c>
      <c r="AT20">
        <f t="shared" si="43"/>
        <v>4416</v>
      </c>
      <c r="AU20">
        <f t="shared" si="43"/>
        <v>4480</v>
      </c>
      <c r="AV20">
        <f t="shared" si="43"/>
        <v>4544</v>
      </c>
      <c r="AW20">
        <f t="shared" si="43"/>
        <v>4608</v>
      </c>
      <c r="AX20">
        <f t="shared" si="43"/>
        <v>4672</v>
      </c>
      <c r="AY20">
        <f t="shared" si="43"/>
        <v>4736</v>
      </c>
      <c r="AZ20">
        <f t="shared" si="43"/>
        <v>4800</v>
      </c>
      <c r="BA20">
        <f t="shared" si="43"/>
        <v>4864</v>
      </c>
      <c r="BB20">
        <f t="shared" si="43"/>
        <v>4928</v>
      </c>
      <c r="BC20">
        <f t="shared" si="43"/>
        <v>4992</v>
      </c>
      <c r="BD20">
        <f t="shared" si="43"/>
        <v>5056</v>
      </c>
      <c r="BE20">
        <f t="shared" si="43"/>
        <v>5120</v>
      </c>
      <c r="BF20">
        <f t="shared" si="43"/>
        <v>5184</v>
      </c>
      <c r="BG20">
        <f t="shared" si="43"/>
        <v>5248</v>
      </c>
      <c r="BH20">
        <f t="shared" si="43"/>
        <v>5312</v>
      </c>
      <c r="BI20">
        <f t="shared" si="43"/>
        <v>5376</v>
      </c>
      <c r="BJ20">
        <f t="shared" si="43"/>
        <v>5440</v>
      </c>
      <c r="BK20">
        <f t="shared" si="43"/>
        <v>5504</v>
      </c>
      <c r="BL20">
        <f t="shared" si="43"/>
        <v>5568</v>
      </c>
      <c r="BM20">
        <f t="shared" si="43"/>
        <v>5632</v>
      </c>
      <c r="BN20">
        <f t="shared" si="43"/>
        <v>5696</v>
      </c>
      <c r="BO20">
        <f t="shared" ref="BO20:BT20" si="44">$B20+64*BO1</f>
        <v>5760</v>
      </c>
      <c r="BP20">
        <f t="shared" si="44"/>
        <v>5824</v>
      </c>
      <c r="BQ20">
        <f t="shared" si="44"/>
        <v>5888</v>
      </c>
      <c r="BR20">
        <f t="shared" si="44"/>
        <v>5952</v>
      </c>
      <c r="BS20">
        <f t="shared" si="44"/>
        <v>6016</v>
      </c>
      <c r="BT20">
        <f t="shared" si="44"/>
        <v>6080</v>
      </c>
    </row>
    <row r="21" spans="1:72" x14ac:dyDescent="0.2">
      <c r="A21" t="s">
        <v>92</v>
      </c>
      <c r="B21">
        <v>2325</v>
      </c>
      <c r="C21">
        <f t="shared" ref="C21:AH21" si="45">$B21+93*C$1</f>
        <v>2418</v>
      </c>
      <c r="D21">
        <f t="shared" si="45"/>
        <v>2511</v>
      </c>
      <c r="E21">
        <f t="shared" si="45"/>
        <v>2604</v>
      </c>
      <c r="F21">
        <f t="shared" si="45"/>
        <v>2697</v>
      </c>
      <c r="G21">
        <f t="shared" si="45"/>
        <v>2790</v>
      </c>
      <c r="H21">
        <f t="shared" si="45"/>
        <v>2883</v>
      </c>
      <c r="I21">
        <f t="shared" si="45"/>
        <v>2976</v>
      </c>
      <c r="J21">
        <f t="shared" si="45"/>
        <v>3069</v>
      </c>
      <c r="K21">
        <f t="shared" si="45"/>
        <v>3162</v>
      </c>
      <c r="L21">
        <f t="shared" si="45"/>
        <v>3255</v>
      </c>
      <c r="M21">
        <f t="shared" si="45"/>
        <v>3348</v>
      </c>
      <c r="N21">
        <f t="shared" si="45"/>
        <v>3441</v>
      </c>
      <c r="O21">
        <f t="shared" si="45"/>
        <v>3534</v>
      </c>
      <c r="P21">
        <f t="shared" si="45"/>
        <v>3627</v>
      </c>
      <c r="Q21">
        <f t="shared" si="45"/>
        <v>3720</v>
      </c>
      <c r="R21">
        <f t="shared" si="45"/>
        <v>3813</v>
      </c>
      <c r="S21">
        <f t="shared" si="45"/>
        <v>3906</v>
      </c>
      <c r="T21">
        <f t="shared" si="45"/>
        <v>3999</v>
      </c>
      <c r="U21">
        <f t="shared" si="45"/>
        <v>4092</v>
      </c>
      <c r="V21">
        <f t="shared" si="45"/>
        <v>4185</v>
      </c>
      <c r="W21">
        <f t="shared" si="45"/>
        <v>4278</v>
      </c>
      <c r="X21">
        <f t="shared" si="45"/>
        <v>4371</v>
      </c>
      <c r="Y21">
        <f t="shared" si="45"/>
        <v>4464</v>
      </c>
      <c r="Z21">
        <f t="shared" si="45"/>
        <v>4557</v>
      </c>
      <c r="AA21">
        <f t="shared" si="45"/>
        <v>4650</v>
      </c>
      <c r="AB21">
        <f t="shared" si="45"/>
        <v>4743</v>
      </c>
      <c r="AC21">
        <f t="shared" si="45"/>
        <v>4836</v>
      </c>
      <c r="AD21">
        <f t="shared" si="45"/>
        <v>4929</v>
      </c>
      <c r="AE21">
        <f t="shared" si="45"/>
        <v>5022</v>
      </c>
      <c r="AF21">
        <f t="shared" si="45"/>
        <v>5115</v>
      </c>
      <c r="AG21">
        <f t="shared" si="45"/>
        <v>5208</v>
      </c>
      <c r="AH21">
        <f t="shared" si="45"/>
        <v>5301</v>
      </c>
      <c r="AI21">
        <f t="shared" ref="AI21:BN21" si="46">$B21+93*AI$1</f>
        <v>5394</v>
      </c>
      <c r="AJ21">
        <f t="shared" si="46"/>
        <v>5487</v>
      </c>
      <c r="AK21">
        <f t="shared" si="46"/>
        <v>5580</v>
      </c>
      <c r="AL21">
        <f t="shared" si="46"/>
        <v>5673</v>
      </c>
      <c r="AM21">
        <f t="shared" si="46"/>
        <v>5766</v>
      </c>
      <c r="AN21">
        <f t="shared" si="46"/>
        <v>5859</v>
      </c>
      <c r="AO21">
        <f t="shared" si="46"/>
        <v>5952</v>
      </c>
      <c r="AP21">
        <f t="shared" si="46"/>
        <v>6045</v>
      </c>
      <c r="AQ21">
        <f t="shared" si="46"/>
        <v>6138</v>
      </c>
      <c r="AR21">
        <f t="shared" si="46"/>
        <v>6231</v>
      </c>
      <c r="AS21">
        <f t="shared" si="46"/>
        <v>6324</v>
      </c>
      <c r="AT21">
        <f t="shared" si="46"/>
        <v>6417</v>
      </c>
      <c r="AU21">
        <f t="shared" si="46"/>
        <v>6510</v>
      </c>
      <c r="AV21">
        <f t="shared" si="46"/>
        <v>6603</v>
      </c>
      <c r="AW21">
        <f t="shared" si="46"/>
        <v>6696</v>
      </c>
      <c r="AX21">
        <f t="shared" si="46"/>
        <v>6789</v>
      </c>
      <c r="AY21">
        <f t="shared" si="46"/>
        <v>6882</v>
      </c>
      <c r="AZ21">
        <f t="shared" si="46"/>
        <v>6975</v>
      </c>
      <c r="BA21">
        <f t="shared" si="46"/>
        <v>7068</v>
      </c>
      <c r="BB21">
        <f t="shared" si="46"/>
        <v>7161</v>
      </c>
      <c r="BC21" s="5">
        <f t="shared" si="46"/>
        <v>7254</v>
      </c>
      <c r="BD21">
        <f t="shared" si="46"/>
        <v>7347</v>
      </c>
      <c r="BE21">
        <f t="shared" si="46"/>
        <v>7440</v>
      </c>
      <c r="BF21" s="5">
        <f t="shared" si="46"/>
        <v>7533</v>
      </c>
      <c r="BG21">
        <f t="shared" si="46"/>
        <v>7626</v>
      </c>
      <c r="BH21">
        <f t="shared" si="46"/>
        <v>7719</v>
      </c>
      <c r="BI21">
        <f t="shared" si="46"/>
        <v>7812</v>
      </c>
      <c r="BJ21" s="5">
        <f t="shared" si="46"/>
        <v>7905</v>
      </c>
      <c r="BK21">
        <f t="shared" si="46"/>
        <v>7998</v>
      </c>
      <c r="BL21">
        <f t="shared" si="46"/>
        <v>8091</v>
      </c>
      <c r="BM21">
        <f t="shared" si="46"/>
        <v>8184</v>
      </c>
      <c r="BN21">
        <f t="shared" si="46"/>
        <v>8277</v>
      </c>
      <c r="BO21">
        <f t="shared" ref="BO21:BT21" si="47">$B21+93*BO$1</f>
        <v>8370</v>
      </c>
      <c r="BP21">
        <f t="shared" si="47"/>
        <v>8463</v>
      </c>
      <c r="BQ21">
        <f t="shared" si="47"/>
        <v>8556</v>
      </c>
      <c r="BR21">
        <f t="shared" si="47"/>
        <v>8649</v>
      </c>
      <c r="BS21">
        <f t="shared" si="47"/>
        <v>8742</v>
      </c>
      <c r="BT21">
        <f t="shared" si="47"/>
        <v>8835</v>
      </c>
    </row>
    <row r="22" spans="1:72" x14ac:dyDescent="0.2">
      <c r="A22" t="s">
        <v>93</v>
      </c>
      <c r="BF22" s="5">
        <v>3888</v>
      </c>
    </row>
    <row r="23" spans="1:72" x14ac:dyDescent="0.2">
      <c r="A23" t="s">
        <v>44</v>
      </c>
      <c r="B23" s="7">
        <v>1500</v>
      </c>
      <c r="C23" s="7">
        <f t="shared" ref="C23:AH23" si="48">$B23+75*C$1</f>
        <v>1575</v>
      </c>
      <c r="D23" s="7">
        <f t="shared" si="48"/>
        <v>1650</v>
      </c>
      <c r="E23" s="7">
        <f t="shared" si="48"/>
        <v>1725</v>
      </c>
      <c r="F23" s="7">
        <f t="shared" si="48"/>
        <v>1800</v>
      </c>
      <c r="G23" s="7">
        <f t="shared" si="48"/>
        <v>1875</v>
      </c>
      <c r="H23" s="7">
        <f t="shared" si="48"/>
        <v>1950</v>
      </c>
      <c r="I23" s="7">
        <f t="shared" si="48"/>
        <v>2025</v>
      </c>
      <c r="J23" s="7">
        <f t="shared" si="48"/>
        <v>2100</v>
      </c>
      <c r="K23" s="7">
        <f t="shared" si="48"/>
        <v>2175</v>
      </c>
      <c r="L23" s="7">
        <f t="shared" si="48"/>
        <v>2250</v>
      </c>
      <c r="M23" s="7">
        <f t="shared" si="48"/>
        <v>2325</v>
      </c>
      <c r="N23" s="7">
        <f t="shared" si="48"/>
        <v>2400</v>
      </c>
      <c r="O23" s="7">
        <f t="shared" si="48"/>
        <v>2475</v>
      </c>
      <c r="P23" s="7">
        <f t="shared" si="48"/>
        <v>2550</v>
      </c>
      <c r="Q23" s="7">
        <f t="shared" si="48"/>
        <v>2625</v>
      </c>
      <c r="R23" s="7">
        <f t="shared" si="48"/>
        <v>2700</v>
      </c>
      <c r="S23" s="7">
        <f t="shared" si="48"/>
        <v>2775</v>
      </c>
      <c r="T23" s="7">
        <f t="shared" si="48"/>
        <v>2850</v>
      </c>
      <c r="U23" s="7">
        <f t="shared" si="48"/>
        <v>2925</v>
      </c>
      <c r="V23" s="7">
        <f t="shared" si="48"/>
        <v>3000</v>
      </c>
      <c r="W23" s="7">
        <f t="shared" si="48"/>
        <v>3075</v>
      </c>
      <c r="X23" s="7">
        <f t="shared" si="48"/>
        <v>3150</v>
      </c>
      <c r="Y23" s="7">
        <f t="shared" si="48"/>
        <v>3225</v>
      </c>
      <c r="Z23" s="7">
        <f t="shared" si="48"/>
        <v>3300</v>
      </c>
      <c r="AA23" s="7">
        <f t="shared" si="48"/>
        <v>3375</v>
      </c>
      <c r="AB23" s="7">
        <f t="shared" si="48"/>
        <v>3450</v>
      </c>
      <c r="AC23" s="7">
        <f t="shared" si="48"/>
        <v>3525</v>
      </c>
      <c r="AD23" s="7">
        <f t="shared" si="48"/>
        <v>3600</v>
      </c>
      <c r="AE23" s="7">
        <f t="shared" si="48"/>
        <v>3675</v>
      </c>
      <c r="AF23" s="7">
        <f t="shared" si="48"/>
        <v>3750</v>
      </c>
      <c r="AG23" s="7">
        <f t="shared" si="48"/>
        <v>3825</v>
      </c>
      <c r="AH23" s="7">
        <f t="shared" si="48"/>
        <v>3900</v>
      </c>
      <c r="AI23" s="7">
        <f t="shared" ref="AI23:BN23" si="49">$B23+75*AI$1</f>
        <v>3975</v>
      </c>
      <c r="AJ23" s="7">
        <f t="shared" si="49"/>
        <v>4050</v>
      </c>
      <c r="AK23" s="7">
        <f t="shared" si="49"/>
        <v>4125</v>
      </c>
      <c r="AL23" s="7">
        <f t="shared" si="49"/>
        <v>4200</v>
      </c>
      <c r="AM23" s="7">
        <f t="shared" si="49"/>
        <v>4275</v>
      </c>
      <c r="AN23" s="7">
        <f t="shared" si="49"/>
        <v>4350</v>
      </c>
      <c r="AO23" s="7">
        <f t="shared" si="49"/>
        <v>4425</v>
      </c>
      <c r="AP23" s="7">
        <f t="shared" si="49"/>
        <v>4500</v>
      </c>
      <c r="AQ23" s="7">
        <f t="shared" si="49"/>
        <v>4575</v>
      </c>
      <c r="AR23" s="7">
        <f t="shared" si="49"/>
        <v>4650</v>
      </c>
      <c r="AS23" s="7">
        <f t="shared" si="49"/>
        <v>4725</v>
      </c>
      <c r="AT23" s="7">
        <f t="shared" si="49"/>
        <v>4800</v>
      </c>
      <c r="AU23" s="7">
        <f t="shared" si="49"/>
        <v>4875</v>
      </c>
      <c r="AV23" s="7">
        <f t="shared" si="49"/>
        <v>4950</v>
      </c>
      <c r="AW23" s="7">
        <f t="shared" si="49"/>
        <v>5025</v>
      </c>
      <c r="AX23" s="7">
        <f t="shared" si="49"/>
        <v>5100</v>
      </c>
      <c r="AY23" s="7">
        <f t="shared" si="49"/>
        <v>5175</v>
      </c>
      <c r="AZ23" s="7">
        <f t="shared" si="49"/>
        <v>5250</v>
      </c>
      <c r="BA23" s="7">
        <f t="shared" si="49"/>
        <v>5325</v>
      </c>
      <c r="BB23" s="7">
        <f t="shared" si="49"/>
        <v>5400</v>
      </c>
      <c r="BC23" s="7">
        <f t="shared" si="49"/>
        <v>5475</v>
      </c>
      <c r="BD23" s="7">
        <f t="shared" si="49"/>
        <v>5550</v>
      </c>
      <c r="BE23" s="7">
        <f t="shared" si="49"/>
        <v>5625</v>
      </c>
      <c r="BF23" s="7">
        <f t="shared" si="49"/>
        <v>5700</v>
      </c>
      <c r="BG23" s="7">
        <f t="shared" si="49"/>
        <v>5775</v>
      </c>
      <c r="BH23" s="7">
        <f t="shared" si="49"/>
        <v>5850</v>
      </c>
      <c r="BI23" s="7">
        <f t="shared" si="49"/>
        <v>5925</v>
      </c>
      <c r="BJ23" s="7">
        <f t="shared" si="49"/>
        <v>6000</v>
      </c>
      <c r="BK23" s="7">
        <f t="shared" si="49"/>
        <v>6075</v>
      </c>
      <c r="BL23" s="7">
        <f t="shared" si="49"/>
        <v>6150</v>
      </c>
      <c r="BM23" s="7">
        <f t="shared" si="49"/>
        <v>6225</v>
      </c>
      <c r="BN23" s="7">
        <f t="shared" si="49"/>
        <v>6300</v>
      </c>
      <c r="BO23" s="7">
        <f t="shared" ref="BO23:BT23" si="50">$B23+75*BO$1</f>
        <v>6375</v>
      </c>
      <c r="BP23" s="7">
        <f t="shared" si="50"/>
        <v>6450</v>
      </c>
      <c r="BQ23" s="7">
        <f t="shared" si="50"/>
        <v>6525</v>
      </c>
      <c r="BR23" s="7">
        <f t="shared" si="50"/>
        <v>6600</v>
      </c>
      <c r="BS23" s="7">
        <f t="shared" si="50"/>
        <v>6675</v>
      </c>
      <c r="BT23" s="7">
        <f t="shared" si="50"/>
        <v>6750</v>
      </c>
    </row>
    <row r="24" spans="1:72" x14ac:dyDescent="0.2">
      <c r="A24" t="s">
        <v>94</v>
      </c>
      <c r="B24" s="7">
        <v>1520</v>
      </c>
      <c r="C24" s="7">
        <f t="shared" ref="C24:AH24" si="51">$B24+76*C$1</f>
        <v>1596</v>
      </c>
      <c r="D24" s="7">
        <f t="shared" si="51"/>
        <v>1672</v>
      </c>
      <c r="E24" s="7">
        <f t="shared" si="51"/>
        <v>1748</v>
      </c>
      <c r="F24" s="7">
        <f t="shared" si="51"/>
        <v>1824</v>
      </c>
      <c r="G24" s="7">
        <f t="shared" si="51"/>
        <v>1900</v>
      </c>
      <c r="H24" s="7">
        <f t="shared" si="51"/>
        <v>1976</v>
      </c>
      <c r="I24" s="7">
        <f t="shared" si="51"/>
        <v>2052</v>
      </c>
      <c r="J24" s="7">
        <f t="shared" si="51"/>
        <v>2128</v>
      </c>
      <c r="K24" s="7">
        <f t="shared" si="51"/>
        <v>2204</v>
      </c>
      <c r="L24" s="7">
        <f t="shared" si="51"/>
        <v>2280</v>
      </c>
      <c r="M24" s="7">
        <f t="shared" si="51"/>
        <v>2356</v>
      </c>
      <c r="N24" s="7">
        <f t="shared" si="51"/>
        <v>2432</v>
      </c>
      <c r="O24" s="7">
        <f t="shared" si="51"/>
        <v>2508</v>
      </c>
      <c r="P24" s="7">
        <f t="shared" si="51"/>
        <v>2584</v>
      </c>
      <c r="Q24" s="7">
        <f t="shared" si="51"/>
        <v>2660</v>
      </c>
      <c r="R24" s="7">
        <f t="shared" si="51"/>
        <v>2736</v>
      </c>
      <c r="S24" s="7">
        <f t="shared" si="51"/>
        <v>2812</v>
      </c>
      <c r="T24" s="7">
        <f t="shared" si="51"/>
        <v>2888</v>
      </c>
      <c r="U24" s="7">
        <f t="shared" si="51"/>
        <v>2964</v>
      </c>
      <c r="V24" s="7">
        <f t="shared" si="51"/>
        <v>3040</v>
      </c>
      <c r="W24" s="7">
        <f t="shared" si="51"/>
        <v>3116</v>
      </c>
      <c r="X24" s="7">
        <f t="shared" si="51"/>
        <v>3192</v>
      </c>
      <c r="Y24" s="7">
        <f t="shared" si="51"/>
        <v>3268</v>
      </c>
      <c r="Z24" s="7">
        <f t="shared" si="51"/>
        <v>3344</v>
      </c>
      <c r="AA24" s="7">
        <f t="shared" si="51"/>
        <v>3420</v>
      </c>
      <c r="AB24" s="7">
        <f t="shared" si="51"/>
        <v>3496</v>
      </c>
      <c r="AC24" s="7">
        <f t="shared" si="51"/>
        <v>3572</v>
      </c>
      <c r="AD24" s="7">
        <f t="shared" si="51"/>
        <v>3648</v>
      </c>
      <c r="AE24" s="7">
        <f t="shared" si="51"/>
        <v>3724</v>
      </c>
      <c r="AF24" s="7">
        <f t="shared" si="51"/>
        <v>3800</v>
      </c>
      <c r="AG24" s="7">
        <f t="shared" si="51"/>
        <v>3876</v>
      </c>
      <c r="AH24" s="7">
        <f t="shared" si="51"/>
        <v>3952</v>
      </c>
      <c r="AI24" s="7">
        <f t="shared" ref="AI24:BN24" si="52">$B24+76*AI$1</f>
        <v>4028</v>
      </c>
      <c r="AJ24" s="7">
        <f t="shared" si="52"/>
        <v>4104</v>
      </c>
      <c r="AK24" s="7">
        <f t="shared" si="52"/>
        <v>4180</v>
      </c>
      <c r="AL24" s="7">
        <f t="shared" si="52"/>
        <v>4256</v>
      </c>
      <c r="AM24" s="7">
        <f t="shared" si="52"/>
        <v>4332</v>
      </c>
      <c r="AN24" s="7">
        <f t="shared" si="52"/>
        <v>4408</v>
      </c>
      <c r="AO24" s="7">
        <f t="shared" si="52"/>
        <v>4484</v>
      </c>
      <c r="AP24" s="7">
        <f t="shared" si="52"/>
        <v>4560</v>
      </c>
      <c r="AQ24" s="7">
        <f t="shared" si="52"/>
        <v>4636</v>
      </c>
      <c r="AR24" s="7">
        <f t="shared" si="52"/>
        <v>4712</v>
      </c>
      <c r="AS24" s="7">
        <f t="shared" si="52"/>
        <v>4788</v>
      </c>
      <c r="AT24" s="7">
        <f t="shared" si="52"/>
        <v>4864</v>
      </c>
      <c r="AU24" s="7">
        <f t="shared" si="52"/>
        <v>4940</v>
      </c>
      <c r="AV24" s="7">
        <f t="shared" si="52"/>
        <v>5016</v>
      </c>
      <c r="AW24" s="7">
        <f t="shared" si="52"/>
        <v>5092</v>
      </c>
      <c r="AX24" s="7">
        <f t="shared" si="52"/>
        <v>5168</v>
      </c>
      <c r="AY24" s="7">
        <f t="shared" si="52"/>
        <v>5244</v>
      </c>
      <c r="AZ24" s="7">
        <f t="shared" si="52"/>
        <v>5320</v>
      </c>
      <c r="BA24" s="7">
        <f t="shared" si="52"/>
        <v>5396</v>
      </c>
      <c r="BB24" s="7">
        <f t="shared" si="52"/>
        <v>5472</v>
      </c>
      <c r="BC24" s="7">
        <f t="shared" si="52"/>
        <v>5548</v>
      </c>
      <c r="BD24" s="7">
        <f t="shared" si="52"/>
        <v>5624</v>
      </c>
      <c r="BE24" s="7">
        <f t="shared" si="52"/>
        <v>5700</v>
      </c>
      <c r="BF24" s="7">
        <f t="shared" si="52"/>
        <v>5776</v>
      </c>
      <c r="BG24" s="7">
        <f t="shared" si="52"/>
        <v>5852</v>
      </c>
      <c r="BH24" s="7">
        <f t="shared" si="52"/>
        <v>5928</v>
      </c>
      <c r="BI24" s="7">
        <f t="shared" si="52"/>
        <v>6004</v>
      </c>
      <c r="BJ24" s="7">
        <f t="shared" si="52"/>
        <v>6080</v>
      </c>
      <c r="BK24" s="7">
        <f t="shared" si="52"/>
        <v>6156</v>
      </c>
      <c r="BL24" s="7">
        <f t="shared" si="52"/>
        <v>6232</v>
      </c>
      <c r="BM24" s="7">
        <f t="shared" si="52"/>
        <v>6308</v>
      </c>
      <c r="BN24" s="7">
        <f t="shared" si="52"/>
        <v>6384</v>
      </c>
      <c r="BO24" s="7">
        <f t="shared" ref="BO24:BT24" si="53">$B24+76*BO$1</f>
        <v>6460</v>
      </c>
      <c r="BP24" s="7">
        <f t="shared" si="53"/>
        <v>6536</v>
      </c>
      <c r="BQ24" s="7">
        <f t="shared" si="53"/>
        <v>6612</v>
      </c>
      <c r="BR24" s="7">
        <f t="shared" si="53"/>
        <v>6688</v>
      </c>
      <c r="BS24" s="7">
        <f t="shared" si="53"/>
        <v>6764</v>
      </c>
      <c r="BT24" s="7">
        <f t="shared" si="53"/>
        <v>6840</v>
      </c>
    </row>
    <row r="25" spans="1:72" x14ac:dyDescent="0.2">
      <c r="A25" t="s">
        <v>95</v>
      </c>
      <c r="B25">
        <v>1570</v>
      </c>
      <c r="C25">
        <f t="shared" ref="C25:AH25" si="54">$B25+77*C$1</f>
        <v>1647</v>
      </c>
      <c r="D25">
        <f t="shared" si="54"/>
        <v>1724</v>
      </c>
      <c r="E25">
        <f t="shared" si="54"/>
        <v>1801</v>
      </c>
      <c r="F25">
        <f t="shared" si="54"/>
        <v>1878</v>
      </c>
      <c r="G25">
        <f t="shared" si="54"/>
        <v>1955</v>
      </c>
      <c r="H25">
        <f t="shared" si="54"/>
        <v>2032</v>
      </c>
      <c r="I25">
        <f t="shared" si="54"/>
        <v>2109</v>
      </c>
      <c r="J25">
        <f t="shared" si="54"/>
        <v>2186</v>
      </c>
      <c r="K25">
        <f t="shared" si="54"/>
        <v>2263</v>
      </c>
      <c r="L25">
        <f t="shared" si="54"/>
        <v>2340</v>
      </c>
      <c r="M25">
        <f t="shared" si="54"/>
        <v>2417</v>
      </c>
      <c r="N25">
        <f t="shared" si="54"/>
        <v>2494</v>
      </c>
      <c r="O25">
        <f t="shared" si="54"/>
        <v>2571</v>
      </c>
      <c r="P25">
        <f t="shared" si="54"/>
        <v>2648</v>
      </c>
      <c r="Q25">
        <f t="shared" si="54"/>
        <v>2725</v>
      </c>
      <c r="R25">
        <f t="shared" si="54"/>
        <v>2802</v>
      </c>
      <c r="S25">
        <f t="shared" si="54"/>
        <v>2879</v>
      </c>
      <c r="T25">
        <f t="shared" si="54"/>
        <v>2956</v>
      </c>
      <c r="U25">
        <f t="shared" si="54"/>
        <v>3033</v>
      </c>
      <c r="V25">
        <f t="shared" si="54"/>
        <v>3110</v>
      </c>
      <c r="W25">
        <f t="shared" si="54"/>
        <v>3187</v>
      </c>
      <c r="X25">
        <f t="shared" si="54"/>
        <v>3264</v>
      </c>
      <c r="Y25">
        <f t="shared" si="54"/>
        <v>3341</v>
      </c>
      <c r="Z25">
        <f t="shared" si="54"/>
        <v>3418</v>
      </c>
      <c r="AA25">
        <f t="shared" si="54"/>
        <v>3495</v>
      </c>
      <c r="AB25">
        <f t="shared" si="54"/>
        <v>3572</v>
      </c>
      <c r="AC25">
        <f t="shared" si="54"/>
        <v>3649</v>
      </c>
      <c r="AD25">
        <f t="shared" si="54"/>
        <v>3726</v>
      </c>
      <c r="AE25">
        <f t="shared" si="54"/>
        <v>3803</v>
      </c>
      <c r="AF25">
        <f t="shared" si="54"/>
        <v>3880</v>
      </c>
      <c r="AG25">
        <f t="shared" si="54"/>
        <v>3957</v>
      </c>
      <c r="AH25">
        <f t="shared" si="54"/>
        <v>4034</v>
      </c>
      <c r="AI25">
        <f t="shared" ref="AI25:BN25" si="55">$B25+77*AI$1</f>
        <v>4111</v>
      </c>
      <c r="AJ25">
        <f t="shared" si="55"/>
        <v>4188</v>
      </c>
      <c r="AK25">
        <f t="shared" si="55"/>
        <v>4265</v>
      </c>
      <c r="AL25">
        <f t="shared" si="55"/>
        <v>4342</v>
      </c>
      <c r="AM25">
        <f t="shared" si="55"/>
        <v>4419</v>
      </c>
      <c r="AN25">
        <f t="shared" si="55"/>
        <v>4496</v>
      </c>
      <c r="AO25">
        <f t="shared" si="55"/>
        <v>4573</v>
      </c>
      <c r="AP25">
        <f t="shared" si="55"/>
        <v>4650</v>
      </c>
      <c r="AQ25">
        <f t="shared" si="55"/>
        <v>4727</v>
      </c>
      <c r="AR25">
        <f t="shared" si="55"/>
        <v>4804</v>
      </c>
      <c r="AS25">
        <f t="shared" si="55"/>
        <v>4881</v>
      </c>
      <c r="AT25">
        <f t="shared" si="55"/>
        <v>4958</v>
      </c>
      <c r="AU25">
        <f t="shared" si="55"/>
        <v>5035</v>
      </c>
      <c r="AV25" s="5">
        <f t="shared" si="55"/>
        <v>5112</v>
      </c>
      <c r="AW25">
        <f t="shared" si="55"/>
        <v>5189</v>
      </c>
      <c r="AX25">
        <f t="shared" si="55"/>
        <v>5266</v>
      </c>
      <c r="AY25">
        <f t="shared" si="55"/>
        <v>5343</v>
      </c>
      <c r="AZ25">
        <f t="shared" si="55"/>
        <v>5420</v>
      </c>
      <c r="BA25">
        <f t="shared" si="55"/>
        <v>5497</v>
      </c>
      <c r="BB25">
        <f t="shared" si="55"/>
        <v>5574</v>
      </c>
      <c r="BC25">
        <f t="shared" si="55"/>
        <v>5651</v>
      </c>
      <c r="BD25">
        <f t="shared" si="55"/>
        <v>5728</v>
      </c>
      <c r="BE25">
        <f t="shared" si="55"/>
        <v>5805</v>
      </c>
      <c r="BF25">
        <f t="shared" si="55"/>
        <v>5882</v>
      </c>
      <c r="BG25">
        <f t="shared" si="55"/>
        <v>5959</v>
      </c>
      <c r="BH25">
        <f t="shared" si="55"/>
        <v>6036</v>
      </c>
      <c r="BI25">
        <f t="shared" si="55"/>
        <v>6113</v>
      </c>
      <c r="BJ25">
        <f t="shared" si="55"/>
        <v>6190</v>
      </c>
      <c r="BK25">
        <f t="shared" si="55"/>
        <v>6267</v>
      </c>
      <c r="BL25">
        <f t="shared" si="55"/>
        <v>6344</v>
      </c>
      <c r="BM25">
        <f t="shared" si="55"/>
        <v>6421</v>
      </c>
      <c r="BN25">
        <f t="shared" si="55"/>
        <v>6498</v>
      </c>
      <c r="BO25">
        <f t="shared" ref="BO25:BT25" si="56">$B25+77*BO$1</f>
        <v>6575</v>
      </c>
      <c r="BP25">
        <f t="shared" si="56"/>
        <v>6652</v>
      </c>
      <c r="BQ25">
        <f t="shared" si="56"/>
        <v>6729</v>
      </c>
      <c r="BR25">
        <f t="shared" si="56"/>
        <v>6806</v>
      </c>
      <c r="BS25">
        <f t="shared" si="56"/>
        <v>6883</v>
      </c>
      <c r="BT25">
        <f t="shared" si="56"/>
        <v>6960</v>
      </c>
    </row>
    <row r="26" spans="1:72" x14ac:dyDescent="0.2">
      <c r="A26" t="s">
        <v>96</v>
      </c>
      <c r="B26" s="7">
        <v>2650</v>
      </c>
      <c r="C26" s="7">
        <f t="shared" ref="C26:AH26" si="57">$B26+106*C$1</f>
        <v>2756</v>
      </c>
      <c r="D26" s="7">
        <f t="shared" si="57"/>
        <v>2862</v>
      </c>
      <c r="E26" s="7">
        <f t="shared" si="57"/>
        <v>2968</v>
      </c>
      <c r="F26" s="7">
        <f t="shared" si="57"/>
        <v>3074</v>
      </c>
      <c r="G26" s="7">
        <f t="shared" si="57"/>
        <v>3180</v>
      </c>
      <c r="H26" s="7">
        <f t="shared" si="57"/>
        <v>3286</v>
      </c>
      <c r="I26" s="7">
        <f t="shared" si="57"/>
        <v>3392</v>
      </c>
      <c r="J26" s="7">
        <f t="shared" si="57"/>
        <v>3498</v>
      </c>
      <c r="K26" s="7">
        <f t="shared" si="57"/>
        <v>3604</v>
      </c>
      <c r="L26" s="7">
        <f t="shared" si="57"/>
        <v>3710</v>
      </c>
      <c r="M26" s="7">
        <f t="shared" si="57"/>
        <v>3816</v>
      </c>
      <c r="N26" s="7">
        <f t="shared" si="57"/>
        <v>3922</v>
      </c>
      <c r="O26" s="7">
        <f t="shared" si="57"/>
        <v>4028</v>
      </c>
      <c r="P26" s="7">
        <f t="shared" si="57"/>
        <v>4134</v>
      </c>
      <c r="Q26" s="7">
        <f t="shared" si="57"/>
        <v>4240</v>
      </c>
      <c r="R26" s="7">
        <f t="shared" si="57"/>
        <v>4346</v>
      </c>
      <c r="S26" s="7">
        <f t="shared" si="57"/>
        <v>4452</v>
      </c>
      <c r="T26" s="7">
        <f t="shared" si="57"/>
        <v>4558</v>
      </c>
      <c r="U26" s="7">
        <f t="shared" si="57"/>
        <v>4664</v>
      </c>
      <c r="V26" s="7">
        <f t="shared" si="57"/>
        <v>4770</v>
      </c>
      <c r="W26" s="7">
        <f t="shared" si="57"/>
        <v>4876</v>
      </c>
      <c r="X26" s="7">
        <f t="shared" si="57"/>
        <v>4982</v>
      </c>
      <c r="Y26" s="7">
        <f t="shared" si="57"/>
        <v>5088</v>
      </c>
      <c r="Z26" s="7">
        <f t="shared" si="57"/>
        <v>5194</v>
      </c>
      <c r="AA26" s="7">
        <f t="shared" si="57"/>
        <v>5300</v>
      </c>
      <c r="AB26" s="7">
        <f t="shared" si="57"/>
        <v>5406</v>
      </c>
      <c r="AC26" s="7">
        <f t="shared" si="57"/>
        <v>5512</v>
      </c>
      <c r="AD26" s="7">
        <f t="shared" si="57"/>
        <v>5618</v>
      </c>
      <c r="AE26" s="7">
        <f t="shared" si="57"/>
        <v>5724</v>
      </c>
      <c r="AF26" s="7">
        <f t="shared" si="57"/>
        <v>5830</v>
      </c>
      <c r="AG26" s="7">
        <f t="shared" si="57"/>
        <v>5936</v>
      </c>
      <c r="AH26" s="7">
        <f t="shared" si="57"/>
        <v>6042</v>
      </c>
      <c r="AI26" s="7">
        <f t="shared" ref="AI26:BN26" si="58">$B26+106*AI$1</f>
        <v>6148</v>
      </c>
      <c r="AJ26" s="7">
        <f t="shared" si="58"/>
        <v>6254</v>
      </c>
      <c r="AK26" s="7">
        <f t="shared" si="58"/>
        <v>6360</v>
      </c>
      <c r="AL26" s="7">
        <f t="shared" si="58"/>
        <v>6466</v>
      </c>
      <c r="AM26" s="7">
        <f t="shared" si="58"/>
        <v>6572</v>
      </c>
      <c r="AN26" s="7">
        <f t="shared" si="58"/>
        <v>6678</v>
      </c>
      <c r="AO26" s="7">
        <f t="shared" si="58"/>
        <v>6784</v>
      </c>
      <c r="AP26" s="7">
        <f t="shared" si="58"/>
        <v>6890</v>
      </c>
      <c r="AQ26" s="7">
        <f t="shared" si="58"/>
        <v>6996</v>
      </c>
      <c r="AR26" s="7">
        <f t="shared" si="58"/>
        <v>7102</v>
      </c>
      <c r="AS26" s="7">
        <f t="shared" si="58"/>
        <v>7208</v>
      </c>
      <c r="AT26" s="7">
        <f t="shared" si="58"/>
        <v>7314</v>
      </c>
      <c r="AU26" s="7">
        <f t="shared" si="58"/>
        <v>7420</v>
      </c>
      <c r="AV26" s="7">
        <f t="shared" si="58"/>
        <v>7526</v>
      </c>
      <c r="AW26" s="7">
        <f t="shared" si="58"/>
        <v>7632</v>
      </c>
      <c r="AX26" s="7">
        <f t="shared" si="58"/>
        <v>7738</v>
      </c>
      <c r="AY26" s="7">
        <f t="shared" si="58"/>
        <v>7844</v>
      </c>
      <c r="AZ26" s="7">
        <f t="shared" si="58"/>
        <v>7950</v>
      </c>
      <c r="BA26" s="7">
        <f t="shared" si="58"/>
        <v>8056</v>
      </c>
      <c r="BB26" s="7">
        <f t="shared" si="58"/>
        <v>8162</v>
      </c>
      <c r="BC26" s="7">
        <f t="shared" si="58"/>
        <v>8268</v>
      </c>
      <c r="BD26" s="7">
        <f t="shared" si="58"/>
        <v>8374</v>
      </c>
      <c r="BE26" s="7">
        <f t="shared" si="58"/>
        <v>8480</v>
      </c>
      <c r="BF26" s="7">
        <f t="shared" si="58"/>
        <v>8586</v>
      </c>
      <c r="BG26" s="7">
        <f t="shared" si="58"/>
        <v>8692</v>
      </c>
      <c r="BH26" s="7">
        <f t="shared" si="58"/>
        <v>8798</v>
      </c>
      <c r="BI26" s="7">
        <f t="shared" si="58"/>
        <v>8904</v>
      </c>
      <c r="BJ26" s="7">
        <f t="shared" si="58"/>
        <v>9010</v>
      </c>
      <c r="BK26" s="7">
        <f t="shared" si="58"/>
        <v>9116</v>
      </c>
      <c r="BL26" s="7">
        <f t="shared" si="58"/>
        <v>9222</v>
      </c>
      <c r="BM26" s="7">
        <f t="shared" si="58"/>
        <v>9328</v>
      </c>
      <c r="BN26" s="7">
        <f t="shared" si="58"/>
        <v>9434</v>
      </c>
      <c r="BO26" s="7">
        <f t="shared" ref="BO26:BT26" si="59">$B26+106*BO$1</f>
        <v>9540</v>
      </c>
      <c r="BP26" s="7">
        <f t="shared" si="59"/>
        <v>9646</v>
      </c>
      <c r="BQ26" s="7">
        <f t="shared" si="59"/>
        <v>9752</v>
      </c>
      <c r="BR26" s="7">
        <f t="shared" si="59"/>
        <v>9858</v>
      </c>
      <c r="BS26" s="7">
        <f t="shared" si="59"/>
        <v>9964</v>
      </c>
      <c r="BT26" s="7">
        <f t="shared" si="59"/>
        <v>10070</v>
      </c>
    </row>
    <row r="27" spans="1:72" x14ac:dyDescent="0.2">
      <c r="A27" t="s">
        <v>29</v>
      </c>
      <c r="B27">
        <v>2900</v>
      </c>
      <c r="C27">
        <f t="shared" ref="C27:C28" si="60">$B27+116*C$1</f>
        <v>3016</v>
      </c>
      <c r="D27">
        <f t="shared" ref="D27:D28" si="61">$B27+116*D$1</f>
        <v>3132</v>
      </c>
      <c r="E27">
        <f t="shared" ref="E27:E28" si="62">$B27+116*E$1</f>
        <v>3248</v>
      </c>
      <c r="F27">
        <f t="shared" ref="F27:F28" si="63">$B27+116*F$1</f>
        <v>3364</v>
      </c>
      <c r="G27">
        <f t="shared" ref="G27:G28" si="64">$B27+116*G$1</f>
        <v>3480</v>
      </c>
      <c r="H27">
        <f t="shared" ref="H27:H28" si="65">$B27+116*H$1</f>
        <v>3596</v>
      </c>
      <c r="I27">
        <f t="shared" ref="I27:I28" si="66">$B27+116*I$1</f>
        <v>3712</v>
      </c>
      <c r="J27">
        <f t="shared" ref="J27:J28" si="67">$B27+116*J$1</f>
        <v>3828</v>
      </c>
      <c r="K27">
        <f t="shared" ref="K27:K28" si="68">$B27+116*K$1</f>
        <v>3944</v>
      </c>
      <c r="L27">
        <f t="shared" ref="L27:L28" si="69">$B27+116*L$1</f>
        <v>4060</v>
      </c>
      <c r="M27">
        <f t="shared" ref="M27:M28" si="70">$B27+116*M$1</f>
        <v>4176</v>
      </c>
      <c r="N27">
        <f t="shared" ref="N27:N28" si="71">$B27+116*N$1</f>
        <v>4292</v>
      </c>
      <c r="O27">
        <f t="shared" ref="O27:O28" si="72">$B27+116*O$1</f>
        <v>4408</v>
      </c>
      <c r="P27">
        <f t="shared" ref="P27:P28" si="73">$B27+116*P$1</f>
        <v>4524</v>
      </c>
      <c r="Q27">
        <f t="shared" ref="Q27:Q28" si="74">$B27+116*Q$1</f>
        <v>4640</v>
      </c>
      <c r="R27">
        <f t="shared" ref="R27:R28" si="75">$B27+116*R$1</f>
        <v>4756</v>
      </c>
      <c r="S27">
        <f t="shared" ref="S27:S28" si="76">$B27+116*S$1</f>
        <v>4872</v>
      </c>
      <c r="T27">
        <f t="shared" ref="T27:T28" si="77">$B27+116*T$1</f>
        <v>4988</v>
      </c>
      <c r="U27">
        <f t="shared" ref="U27:U28" si="78">$B27+116*U$1</f>
        <v>5104</v>
      </c>
      <c r="V27">
        <f t="shared" ref="V27:V28" si="79">$B27+116*V$1</f>
        <v>5220</v>
      </c>
      <c r="W27">
        <f t="shared" ref="W27:W28" si="80">$B27+116*W$1</f>
        <v>5336</v>
      </c>
      <c r="X27">
        <f t="shared" ref="X27:X28" si="81">$B27+116*X$1</f>
        <v>5452</v>
      </c>
      <c r="Y27">
        <f t="shared" ref="Y27:Y28" si="82">$B27+116*Y$1</f>
        <v>5568</v>
      </c>
      <c r="Z27">
        <f t="shared" ref="Z27:Z28" si="83">$B27+116*Z$1</f>
        <v>5684</v>
      </c>
      <c r="AA27">
        <f t="shared" ref="AA27:AA28" si="84">$B27+116*AA$1</f>
        <v>5800</v>
      </c>
      <c r="AB27">
        <f t="shared" ref="AB27:AB28" si="85">$B27+116*AB$1</f>
        <v>5916</v>
      </c>
      <c r="AC27">
        <f t="shared" ref="AC27:AC28" si="86">$B27+116*AC$1</f>
        <v>6032</v>
      </c>
      <c r="AD27">
        <f t="shared" ref="AD27:AD28" si="87">$B27+116*AD$1</f>
        <v>6148</v>
      </c>
      <c r="AE27">
        <f t="shared" ref="AE27:AE28" si="88">$B27+116*AE$1</f>
        <v>6264</v>
      </c>
      <c r="AF27">
        <f t="shared" ref="AF27:AF28" si="89">$B27+116*AF$1</f>
        <v>6380</v>
      </c>
      <c r="AG27">
        <f t="shared" ref="AG27:AG28" si="90">$B27+116*AG$1</f>
        <v>6496</v>
      </c>
      <c r="AH27">
        <f t="shared" ref="AH27:AH28" si="91">$B27+116*AH$1</f>
        <v>6612</v>
      </c>
      <c r="AI27">
        <f t="shared" ref="AI27:AI28" si="92">$B27+116*AI$1</f>
        <v>6728</v>
      </c>
      <c r="AJ27">
        <f t="shared" ref="AJ27:AJ28" si="93">$B27+116*AJ$1</f>
        <v>6844</v>
      </c>
      <c r="AK27">
        <f t="shared" ref="AK27:AK28" si="94">$B27+116*AK$1</f>
        <v>6960</v>
      </c>
      <c r="AL27">
        <f t="shared" ref="AL27:AL28" si="95">$B27+116*AL$1</f>
        <v>7076</v>
      </c>
      <c r="AM27">
        <f t="shared" ref="AM27:AM28" si="96">$B27+116*AM$1</f>
        <v>7192</v>
      </c>
      <c r="AN27">
        <f t="shared" ref="AN27:AN28" si="97">$B27+116*AN$1</f>
        <v>7308</v>
      </c>
      <c r="AO27">
        <f t="shared" ref="AO27:AO28" si="98">$B27+116*AO$1</f>
        <v>7424</v>
      </c>
      <c r="AP27">
        <f t="shared" ref="AP27:AP28" si="99">$B27+116*AP$1</f>
        <v>7540</v>
      </c>
      <c r="AQ27">
        <f t="shared" ref="AQ27:AQ28" si="100">$B27+116*AQ$1</f>
        <v>7656</v>
      </c>
      <c r="AR27">
        <f t="shared" ref="AR27:AR28" si="101">$B27+116*AR$1</f>
        <v>7772</v>
      </c>
      <c r="AS27">
        <f t="shared" ref="AS27:AS28" si="102">$B27+116*AS$1</f>
        <v>7888</v>
      </c>
      <c r="AT27">
        <f t="shared" ref="AT27:AT28" si="103">$B27+116*AT$1</f>
        <v>8004</v>
      </c>
      <c r="AU27">
        <f t="shared" ref="AU27:AU28" si="104">$B27+116*AU$1</f>
        <v>8120</v>
      </c>
      <c r="AV27">
        <f t="shared" ref="AV27:AV28" si="105">$B27+116*AV$1</f>
        <v>8236</v>
      </c>
      <c r="AW27">
        <f t="shared" ref="AW27:AW28" si="106">$B27+116*AW$1</f>
        <v>8352</v>
      </c>
      <c r="AX27">
        <f t="shared" ref="AX27:AX28" si="107">$B27+116*AX$1</f>
        <v>8468</v>
      </c>
      <c r="AY27">
        <f t="shared" ref="AY27:AY28" si="108">$B27+116*AY$1</f>
        <v>8584</v>
      </c>
      <c r="AZ27">
        <f t="shared" ref="AZ27:AZ28" si="109">$B27+116*AZ$1</f>
        <v>8700</v>
      </c>
      <c r="BA27">
        <f t="shared" ref="BA27:BA28" si="110">$B27+116*BA$1</f>
        <v>8816</v>
      </c>
      <c r="BB27">
        <f t="shared" ref="BB27:BB28" si="111">$B27+116*BB$1</f>
        <v>8932</v>
      </c>
      <c r="BC27">
        <f t="shared" ref="BC27:BC28" si="112">$B27+116*BC$1</f>
        <v>9048</v>
      </c>
      <c r="BD27">
        <f t="shared" ref="BD27:BD28" si="113">$B27+116*BD$1</f>
        <v>9164</v>
      </c>
      <c r="BE27">
        <f t="shared" ref="BE27:BE28" si="114">$B27+116*BE$1</f>
        <v>9280</v>
      </c>
      <c r="BF27">
        <f t="shared" ref="BF27:BF28" si="115">$B27+116*BF$1</f>
        <v>9396</v>
      </c>
      <c r="BG27">
        <f t="shared" ref="BG27:BG28" si="116">$B27+116*BG$1</f>
        <v>9512</v>
      </c>
      <c r="BH27">
        <f t="shared" ref="BH27:BH28" si="117">$B27+116*BH$1</f>
        <v>9628</v>
      </c>
      <c r="BI27">
        <f t="shared" ref="BI27:BI28" si="118">$B27+116*BI$1</f>
        <v>9744</v>
      </c>
      <c r="BJ27" s="5">
        <f t="shared" ref="BJ27:BJ28" si="119">$B27+116*BJ$1</f>
        <v>9860</v>
      </c>
      <c r="BK27">
        <f t="shared" ref="BK27:BK28" si="120">$B27+116*BK$1</f>
        <v>9976</v>
      </c>
      <c r="BL27">
        <f t="shared" ref="BL27:BL28" si="121">$B27+116*BL$1</f>
        <v>10092</v>
      </c>
      <c r="BM27" s="5">
        <f t="shared" ref="BM27:BM28" si="122">$B27+116*BM$1</f>
        <v>10208</v>
      </c>
      <c r="BN27">
        <f t="shared" ref="BN27:BN28" si="123">$B27+116*BN$1</f>
        <v>10324</v>
      </c>
      <c r="BO27">
        <f t="shared" ref="BO27:BO28" si="124">$B27+116*BO$1</f>
        <v>10440</v>
      </c>
      <c r="BP27">
        <f t="shared" ref="BP27:BP28" si="125">$B27+116*BP$1</f>
        <v>10556</v>
      </c>
      <c r="BQ27">
        <f t="shared" ref="BQ27:BQ28" si="126">$B27+116*BQ$1</f>
        <v>10672</v>
      </c>
      <c r="BR27">
        <f t="shared" ref="BR27:BR28" si="127">$B27+116*BR$1</f>
        <v>10788</v>
      </c>
      <c r="BS27">
        <f t="shared" ref="BS27:BS28" si="128">$B27+116*BS$1</f>
        <v>10904</v>
      </c>
      <c r="BT27">
        <f t="shared" ref="BT27:BT28" si="129">$B27+116*BT$1</f>
        <v>11020</v>
      </c>
    </row>
    <row r="28" spans="1:72" x14ac:dyDescent="0.2">
      <c r="A28" t="s">
        <v>97</v>
      </c>
      <c r="B28">
        <v>2900</v>
      </c>
      <c r="C28">
        <f t="shared" si="60"/>
        <v>3016</v>
      </c>
      <c r="D28">
        <f t="shared" si="61"/>
        <v>3132</v>
      </c>
      <c r="E28">
        <f t="shared" si="62"/>
        <v>3248</v>
      </c>
      <c r="F28">
        <f t="shared" si="63"/>
        <v>3364</v>
      </c>
      <c r="G28">
        <f t="shared" si="64"/>
        <v>3480</v>
      </c>
      <c r="H28">
        <f t="shared" si="65"/>
        <v>3596</v>
      </c>
      <c r="I28">
        <f t="shared" si="66"/>
        <v>3712</v>
      </c>
      <c r="J28">
        <f t="shared" si="67"/>
        <v>3828</v>
      </c>
      <c r="K28">
        <f t="shared" si="68"/>
        <v>3944</v>
      </c>
      <c r="L28">
        <f t="shared" si="69"/>
        <v>4060</v>
      </c>
      <c r="M28">
        <f t="shared" si="70"/>
        <v>4176</v>
      </c>
      <c r="N28">
        <f t="shared" si="71"/>
        <v>4292</v>
      </c>
      <c r="O28">
        <f t="shared" si="72"/>
        <v>4408</v>
      </c>
      <c r="P28">
        <f t="shared" si="73"/>
        <v>4524</v>
      </c>
      <c r="Q28">
        <f t="shared" si="74"/>
        <v>4640</v>
      </c>
      <c r="R28">
        <f t="shared" si="75"/>
        <v>4756</v>
      </c>
      <c r="S28">
        <f t="shared" si="76"/>
        <v>4872</v>
      </c>
      <c r="T28">
        <f t="shared" si="77"/>
        <v>4988</v>
      </c>
      <c r="U28">
        <f t="shared" si="78"/>
        <v>5104</v>
      </c>
      <c r="V28">
        <f t="shared" si="79"/>
        <v>5220</v>
      </c>
      <c r="W28">
        <f t="shared" si="80"/>
        <v>5336</v>
      </c>
      <c r="X28">
        <f t="shared" si="81"/>
        <v>5452</v>
      </c>
      <c r="Y28">
        <f t="shared" si="82"/>
        <v>5568</v>
      </c>
      <c r="Z28">
        <f t="shared" si="83"/>
        <v>5684</v>
      </c>
      <c r="AA28">
        <f t="shared" si="84"/>
        <v>5800</v>
      </c>
      <c r="AB28">
        <f t="shared" si="85"/>
        <v>5916</v>
      </c>
      <c r="AC28">
        <f t="shared" si="86"/>
        <v>6032</v>
      </c>
      <c r="AD28">
        <f t="shared" si="87"/>
        <v>6148</v>
      </c>
      <c r="AE28">
        <f t="shared" si="88"/>
        <v>6264</v>
      </c>
      <c r="AF28">
        <f t="shared" si="89"/>
        <v>6380</v>
      </c>
      <c r="AG28">
        <f t="shared" si="90"/>
        <v>6496</v>
      </c>
      <c r="AH28">
        <f t="shared" si="91"/>
        <v>6612</v>
      </c>
      <c r="AI28">
        <f t="shared" si="92"/>
        <v>6728</v>
      </c>
      <c r="AJ28">
        <f t="shared" si="93"/>
        <v>6844</v>
      </c>
      <c r="AK28">
        <f t="shared" si="94"/>
        <v>6960</v>
      </c>
      <c r="AL28">
        <f t="shared" si="95"/>
        <v>7076</v>
      </c>
      <c r="AM28">
        <f t="shared" si="96"/>
        <v>7192</v>
      </c>
      <c r="AN28">
        <f t="shared" si="97"/>
        <v>7308</v>
      </c>
      <c r="AO28">
        <f t="shared" si="98"/>
        <v>7424</v>
      </c>
      <c r="AP28">
        <f t="shared" si="99"/>
        <v>7540</v>
      </c>
      <c r="AQ28">
        <f t="shared" si="100"/>
        <v>7656</v>
      </c>
      <c r="AR28">
        <f t="shared" si="101"/>
        <v>7772</v>
      </c>
      <c r="AS28">
        <f t="shared" si="102"/>
        <v>7888</v>
      </c>
      <c r="AT28">
        <f t="shared" si="103"/>
        <v>8004</v>
      </c>
      <c r="AU28">
        <f t="shared" si="104"/>
        <v>8120</v>
      </c>
      <c r="AV28">
        <f t="shared" si="105"/>
        <v>8236</v>
      </c>
      <c r="AW28">
        <f t="shared" si="106"/>
        <v>8352</v>
      </c>
      <c r="AX28">
        <f t="shared" si="107"/>
        <v>8468</v>
      </c>
      <c r="AY28">
        <f t="shared" si="108"/>
        <v>8584</v>
      </c>
      <c r="AZ28">
        <f t="shared" si="109"/>
        <v>8700</v>
      </c>
      <c r="BA28">
        <f t="shared" si="110"/>
        <v>8816</v>
      </c>
      <c r="BB28">
        <f t="shared" si="111"/>
        <v>8932</v>
      </c>
      <c r="BC28">
        <f t="shared" si="112"/>
        <v>9048</v>
      </c>
      <c r="BD28">
        <f t="shared" si="113"/>
        <v>9164</v>
      </c>
      <c r="BE28">
        <f t="shared" si="114"/>
        <v>9280</v>
      </c>
      <c r="BF28">
        <f t="shared" si="115"/>
        <v>9396</v>
      </c>
      <c r="BG28">
        <f t="shared" si="116"/>
        <v>9512</v>
      </c>
      <c r="BH28">
        <f t="shared" si="117"/>
        <v>9628</v>
      </c>
      <c r="BI28">
        <f t="shared" si="118"/>
        <v>9744</v>
      </c>
      <c r="BJ28" s="5">
        <f t="shared" si="119"/>
        <v>9860</v>
      </c>
      <c r="BK28">
        <f t="shared" si="120"/>
        <v>9976</v>
      </c>
      <c r="BL28">
        <f t="shared" si="121"/>
        <v>10092</v>
      </c>
      <c r="BM28">
        <f t="shared" si="122"/>
        <v>10208</v>
      </c>
      <c r="BN28">
        <f t="shared" si="123"/>
        <v>10324</v>
      </c>
      <c r="BO28">
        <f t="shared" si="124"/>
        <v>10440</v>
      </c>
      <c r="BP28">
        <f t="shared" si="125"/>
        <v>10556</v>
      </c>
      <c r="BQ28">
        <f t="shared" si="126"/>
        <v>10672</v>
      </c>
      <c r="BR28">
        <f t="shared" si="127"/>
        <v>10788</v>
      </c>
      <c r="BS28">
        <f t="shared" si="128"/>
        <v>10904</v>
      </c>
      <c r="BT28">
        <f t="shared" si="129"/>
        <v>11020</v>
      </c>
    </row>
    <row r="29" spans="1:72" x14ac:dyDescent="0.2">
      <c r="A29" t="s">
        <v>66</v>
      </c>
      <c r="B29">
        <v>2045</v>
      </c>
      <c r="C29">
        <f>$B29+117*C1</f>
        <v>2162</v>
      </c>
      <c r="BH29" s="7">
        <v>8831</v>
      </c>
    </row>
    <row r="30" spans="1:72" x14ac:dyDescent="0.2">
      <c r="A30" t="s">
        <v>98</v>
      </c>
      <c r="B30" s="7">
        <v>500</v>
      </c>
      <c r="C30" s="7">
        <f t="shared" ref="C30:AH30" si="130">$B30+60*C$1</f>
        <v>560</v>
      </c>
      <c r="D30" s="7">
        <f t="shared" si="130"/>
        <v>620</v>
      </c>
      <c r="E30" s="7">
        <f t="shared" si="130"/>
        <v>680</v>
      </c>
      <c r="F30" s="7">
        <f t="shared" si="130"/>
        <v>740</v>
      </c>
      <c r="G30" s="7">
        <f t="shared" si="130"/>
        <v>800</v>
      </c>
      <c r="H30" s="7">
        <f t="shared" si="130"/>
        <v>860</v>
      </c>
      <c r="I30" s="7">
        <f t="shared" si="130"/>
        <v>920</v>
      </c>
      <c r="J30" s="7">
        <f t="shared" si="130"/>
        <v>980</v>
      </c>
      <c r="K30" s="7">
        <f t="shared" si="130"/>
        <v>1040</v>
      </c>
      <c r="L30" s="7">
        <f t="shared" si="130"/>
        <v>1100</v>
      </c>
      <c r="M30" s="7">
        <f t="shared" si="130"/>
        <v>1160</v>
      </c>
      <c r="N30" s="7">
        <f t="shared" si="130"/>
        <v>1220</v>
      </c>
      <c r="O30" s="7">
        <f t="shared" si="130"/>
        <v>1280</v>
      </c>
      <c r="P30" s="7">
        <f t="shared" si="130"/>
        <v>1340</v>
      </c>
      <c r="Q30" s="7">
        <f t="shared" si="130"/>
        <v>1400</v>
      </c>
      <c r="R30" s="7">
        <f t="shared" si="130"/>
        <v>1460</v>
      </c>
      <c r="S30" s="7">
        <f t="shared" si="130"/>
        <v>1520</v>
      </c>
      <c r="T30" s="7">
        <f t="shared" si="130"/>
        <v>1580</v>
      </c>
      <c r="U30" s="7">
        <f t="shared" si="130"/>
        <v>1640</v>
      </c>
      <c r="V30" s="7">
        <f t="shared" si="130"/>
        <v>1700</v>
      </c>
      <c r="W30" s="7">
        <f t="shared" si="130"/>
        <v>1760</v>
      </c>
      <c r="X30" s="7">
        <f t="shared" si="130"/>
        <v>1820</v>
      </c>
      <c r="Y30" s="7">
        <f t="shared" si="130"/>
        <v>1880</v>
      </c>
      <c r="Z30" s="7">
        <f t="shared" si="130"/>
        <v>1940</v>
      </c>
      <c r="AA30" s="7">
        <f t="shared" si="130"/>
        <v>2000</v>
      </c>
      <c r="AB30" s="7">
        <f t="shared" si="130"/>
        <v>2060</v>
      </c>
      <c r="AC30" s="7">
        <f t="shared" si="130"/>
        <v>2120</v>
      </c>
      <c r="AD30" s="7">
        <f t="shared" si="130"/>
        <v>2180</v>
      </c>
      <c r="AE30" s="7">
        <f t="shared" si="130"/>
        <v>2240</v>
      </c>
      <c r="AF30" s="7">
        <f t="shared" si="130"/>
        <v>2300</v>
      </c>
      <c r="AG30" s="7">
        <f t="shared" si="130"/>
        <v>2360</v>
      </c>
      <c r="AH30" s="7">
        <f t="shared" si="130"/>
        <v>2420</v>
      </c>
      <c r="AI30" s="7">
        <f t="shared" ref="AI30:BN30" si="131">$B30+60*AI$1</f>
        <v>2480</v>
      </c>
      <c r="AJ30" s="7">
        <f t="shared" si="131"/>
        <v>2540</v>
      </c>
      <c r="AK30" s="7">
        <f t="shared" si="131"/>
        <v>2600</v>
      </c>
      <c r="AL30" s="7">
        <f t="shared" si="131"/>
        <v>2660</v>
      </c>
      <c r="AM30" s="7">
        <f t="shared" si="131"/>
        <v>2720</v>
      </c>
      <c r="AN30" s="7">
        <f t="shared" si="131"/>
        <v>2780</v>
      </c>
      <c r="AO30" s="7">
        <f t="shared" si="131"/>
        <v>2840</v>
      </c>
      <c r="AP30" s="7">
        <f t="shared" si="131"/>
        <v>2900</v>
      </c>
      <c r="AQ30" s="7">
        <f t="shared" si="131"/>
        <v>2960</v>
      </c>
      <c r="AR30" s="7">
        <f t="shared" si="131"/>
        <v>3020</v>
      </c>
      <c r="AS30" s="7">
        <f t="shared" si="131"/>
        <v>3080</v>
      </c>
      <c r="AT30" s="7">
        <f t="shared" si="131"/>
        <v>3140</v>
      </c>
      <c r="AU30" s="7">
        <f t="shared" si="131"/>
        <v>3200</v>
      </c>
      <c r="AV30" s="7">
        <f t="shared" si="131"/>
        <v>3260</v>
      </c>
      <c r="AW30" s="7">
        <f t="shared" si="131"/>
        <v>3320</v>
      </c>
      <c r="AX30" s="7">
        <f t="shared" si="131"/>
        <v>3380</v>
      </c>
      <c r="AY30" s="7">
        <f t="shared" si="131"/>
        <v>3440</v>
      </c>
      <c r="AZ30" s="7">
        <f t="shared" si="131"/>
        <v>3500</v>
      </c>
      <c r="BA30" s="7">
        <f t="shared" si="131"/>
        <v>3560</v>
      </c>
      <c r="BB30" s="7">
        <f t="shared" si="131"/>
        <v>3620</v>
      </c>
      <c r="BC30" s="7">
        <f t="shared" si="131"/>
        <v>3680</v>
      </c>
      <c r="BD30" s="7">
        <f t="shared" si="131"/>
        <v>3740</v>
      </c>
      <c r="BE30" s="7">
        <f t="shared" si="131"/>
        <v>3800</v>
      </c>
      <c r="BF30" s="7">
        <f t="shared" si="131"/>
        <v>3860</v>
      </c>
      <c r="BG30" s="7">
        <f t="shared" si="131"/>
        <v>3920</v>
      </c>
      <c r="BH30" s="7">
        <f t="shared" si="131"/>
        <v>3980</v>
      </c>
      <c r="BI30" s="7">
        <f t="shared" si="131"/>
        <v>4040</v>
      </c>
      <c r="BJ30" s="7">
        <f t="shared" si="131"/>
        <v>4100</v>
      </c>
      <c r="BK30" s="7">
        <f t="shared" si="131"/>
        <v>4160</v>
      </c>
      <c r="BL30" s="7">
        <f t="shared" si="131"/>
        <v>4220</v>
      </c>
      <c r="BM30" s="7">
        <f t="shared" si="131"/>
        <v>4280</v>
      </c>
      <c r="BN30" s="7">
        <f t="shared" si="131"/>
        <v>4340</v>
      </c>
      <c r="BO30" s="7">
        <f t="shared" ref="BO30:BT30" si="132">$B30+60*BO$1</f>
        <v>4400</v>
      </c>
      <c r="BP30" s="7">
        <f t="shared" si="132"/>
        <v>4460</v>
      </c>
      <c r="BQ30" s="7">
        <f t="shared" si="132"/>
        <v>4520</v>
      </c>
      <c r="BR30" s="7">
        <f t="shared" si="132"/>
        <v>4580</v>
      </c>
      <c r="BS30" s="7">
        <f t="shared" si="132"/>
        <v>4640</v>
      </c>
      <c r="BT30" s="7">
        <f t="shared" si="132"/>
        <v>4700</v>
      </c>
    </row>
    <row r="31" spans="1:72" x14ac:dyDescent="0.2">
      <c r="A31" t="s">
        <v>22</v>
      </c>
      <c r="B31">
        <v>900</v>
      </c>
      <c r="C31">
        <f t="shared" ref="C31:AH31" si="133">$B31+54*C$1</f>
        <v>954</v>
      </c>
      <c r="D31">
        <f t="shared" si="133"/>
        <v>1008</v>
      </c>
      <c r="E31">
        <f t="shared" si="133"/>
        <v>1062</v>
      </c>
      <c r="F31">
        <f t="shared" si="133"/>
        <v>1116</v>
      </c>
      <c r="G31">
        <f t="shared" si="133"/>
        <v>1170</v>
      </c>
      <c r="H31">
        <f t="shared" si="133"/>
        <v>1224</v>
      </c>
      <c r="I31">
        <f t="shared" si="133"/>
        <v>1278</v>
      </c>
      <c r="J31">
        <f t="shared" si="133"/>
        <v>1332</v>
      </c>
      <c r="K31">
        <f t="shared" si="133"/>
        <v>1386</v>
      </c>
      <c r="L31">
        <f t="shared" si="133"/>
        <v>1440</v>
      </c>
      <c r="M31">
        <f t="shared" si="133"/>
        <v>1494</v>
      </c>
      <c r="N31">
        <f t="shared" si="133"/>
        <v>1548</v>
      </c>
      <c r="O31">
        <f t="shared" si="133"/>
        <v>1602</v>
      </c>
      <c r="P31">
        <f t="shared" si="133"/>
        <v>1656</v>
      </c>
      <c r="Q31">
        <f t="shared" si="133"/>
        <v>1710</v>
      </c>
      <c r="R31">
        <f t="shared" si="133"/>
        <v>1764</v>
      </c>
      <c r="S31">
        <f t="shared" si="133"/>
        <v>1818</v>
      </c>
      <c r="T31">
        <f t="shared" si="133"/>
        <v>1872</v>
      </c>
      <c r="U31">
        <f t="shared" si="133"/>
        <v>1926</v>
      </c>
      <c r="V31">
        <f t="shared" si="133"/>
        <v>1980</v>
      </c>
      <c r="W31">
        <f t="shared" si="133"/>
        <v>2034</v>
      </c>
      <c r="X31">
        <f t="shared" si="133"/>
        <v>2088</v>
      </c>
      <c r="Y31">
        <f t="shared" si="133"/>
        <v>2142</v>
      </c>
      <c r="Z31">
        <f t="shared" si="133"/>
        <v>2196</v>
      </c>
      <c r="AA31">
        <f t="shared" si="133"/>
        <v>2250</v>
      </c>
      <c r="AB31">
        <f t="shared" si="133"/>
        <v>2304</v>
      </c>
      <c r="AC31">
        <f t="shared" si="133"/>
        <v>2358</v>
      </c>
      <c r="AD31">
        <f t="shared" si="133"/>
        <v>2412</v>
      </c>
      <c r="AE31">
        <f t="shared" si="133"/>
        <v>2466</v>
      </c>
      <c r="AF31">
        <f t="shared" si="133"/>
        <v>2520</v>
      </c>
      <c r="AG31">
        <f t="shared" si="133"/>
        <v>2574</v>
      </c>
      <c r="AH31">
        <f t="shared" si="133"/>
        <v>2628</v>
      </c>
      <c r="AI31">
        <f t="shared" ref="AI31:BN31" si="134">$B31+54*AI$1</f>
        <v>2682</v>
      </c>
      <c r="AJ31">
        <f t="shared" si="134"/>
        <v>2736</v>
      </c>
      <c r="AK31">
        <f t="shared" si="134"/>
        <v>2790</v>
      </c>
      <c r="AL31">
        <f t="shared" si="134"/>
        <v>2844</v>
      </c>
      <c r="AM31">
        <f t="shared" si="134"/>
        <v>2898</v>
      </c>
      <c r="AN31">
        <f t="shared" si="134"/>
        <v>2952</v>
      </c>
      <c r="AO31">
        <f t="shared" si="134"/>
        <v>3006</v>
      </c>
      <c r="AP31">
        <f t="shared" si="134"/>
        <v>3060</v>
      </c>
      <c r="AQ31">
        <f t="shared" si="134"/>
        <v>3114</v>
      </c>
      <c r="AR31">
        <f t="shared" si="134"/>
        <v>3168</v>
      </c>
      <c r="AS31">
        <f t="shared" si="134"/>
        <v>3222</v>
      </c>
      <c r="AT31">
        <f t="shared" si="134"/>
        <v>3276</v>
      </c>
      <c r="AU31">
        <f t="shared" si="134"/>
        <v>3330</v>
      </c>
      <c r="AV31">
        <f t="shared" si="134"/>
        <v>3384</v>
      </c>
      <c r="AW31">
        <f t="shared" si="134"/>
        <v>3438</v>
      </c>
      <c r="AX31">
        <f t="shared" si="134"/>
        <v>3492</v>
      </c>
      <c r="AY31">
        <f t="shared" si="134"/>
        <v>3546</v>
      </c>
      <c r="AZ31">
        <f t="shared" si="134"/>
        <v>3600</v>
      </c>
      <c r="BA31">
        <f t="shared" si="134"/>
        <v>3654</v>
      </c>
      <c r="BB31">
        <f t="shared" si="134"/>
        <v>3708</v>
      </c>
      <c r="BC31">
        <f t="shared" si="134"/>
        <v>3762</v>
      </c>
      <c r="BD31">
        <f t="shared" si="134"/>
        <v>3816</v>
      </c>
      <c r="BE31">
        <f t="shared" si="134"/>
        <v>3870</v>
      </c>
      <c r="BF31">
        <f t="shared" si="134"/>
        <v>3924</v>
      </c>
      <c r="BG31">
        <f t="shared" si="134"/>
        <v>3978</v>
      </c>
      <c r="BH31">
        <f t="shared" si="134"/>
        <v>4032</v>
      </c>
      <c r="BI31">
        <f t="shared" si="134"/>
        <v>4086</v>
      </c>
      <c r="BJ31">
        <f t="shared" si="134"/>
        <v>4140</v>
      </c>
      <c r="BK31">
        <f t="shared" si="134"/>
        <v>4194</v>
      </c>
      <c r="BL31">
        <f t="shared" si="134"/>
        <v>4248</v>
      </c>
      <c r="BM31">
        <f t="shared" si="134"/>
        <v>4302</v>
      </c>
      <c r="BN31">
        <f t="shared" si="134"/>
        <v>4356</v>
      </c>
      <c r="BO31">
        <f t="shared" ref="BO31:BT31" si="135">$B31+54*BO$1</f>
        <v>4410</v>
      </c>
      <c r="BP31">
        <f t="shared" si="135"/>
        <v>4464</v>
      </c>
      <c r="BQ31">
        <f t="shared" si="135"/>
        <v>4518</v>
      </c>
      <c r="BR31">
        <f t="shared" si="135"/>
        <v>4572</v>
      </c>
      <c r="BS31">
        <f t="shared" si="135"/>
        <v>4626</v>
      </c>
      <c r="BT31">
        <f t="shared" si="135"/>
        <v>4680</v>
      </c>
    </row>
    <row r="32" spans="1:72" x14ac:dyDescent="0.2">
      <c r="A32" t="s">
        <v>99</v>
      </c>
      <c r="B32" s="6">
        <v>1500</v>
      </c>
      <c r="C32" s="6">
        <f t="shared" ref="C32:AH32" si="136">$B32+60*C$1</f>
        <v>1560</v>
      </c>
      <c r="D32" s="6">
        <f t="shared" si="136"/>
        <v>1620</v>
      </c>
      <c r="E32" s="6">
        <f t="shared" si="136"/>
        <v>1680</v>
      </c>
      <c r="F32" s="6">
        <f t="shared" si="136"/>
        <v>1740</v>
      </c>
      <c r="G32" s="6">
        <f t="shared" si="136"/>
        <v>1800</v>
      </c>
      <c r="H32" s="6">
        <f t="shared" si="136"/>
        <v>1860</v>
      </c>
      <c r="I32" s="6">
        <f t="shared" si="136"/>
        <v>1920</v>
      </c>
      <c r="J32" s="6">
        <f t="shared" si="136"/>
        <v>1980</v>
      </c>
      <c r="K32" s="6">
        <f t="shared" si="136"/>
        <v>2040</v>
      </c>
      <c r="L32" s="6">
        <f t="shared" si="136"/>
        <v>2100</v>
      </c>
      <c r="M32" s="6">
        <f t="shared" si="136"/>
        <v>2160</v>
      </c>
      <c r="N32" s="6">
        <f t="shared" si="136"/>
        <v>2220</v>
      </c>
      <c r="O32" s="6">
        <f t="shared" si="136"/>
        <v>2280</v>
      </c>
      <c r="P32" s="6">
        <f t="shared" si="136"/>
        <v>2340</v>
      </c>
      <c r="Q32" s="6">
        <f t="shared" si="136"/>
        <v>2400</v>
      </c>
      <c r="R32" s="6">
        <f t="shared" si="136"/>
        <v>2460</v>
      </c>
      <c r="S32" s="6">
        <f t="shared" si="136"/>
        <v>2520</v>
      </c>
      <c r="T32" s="6">
        <f t="shared" si="136"/>
        <v>2580</v>
      </c>
      <c r="U32" s="6">
        <f t="shared" si="136"/>
        <v>2640</v>
      </c>
      <c r="V32" s="6">
        <f t="shared" si="136"/>
        <v>2700</v>
      </c>
      <c r="W32" s="6">
        <f t="shared" si="136"/>
        <v>2760</v>
      </c>
      <c r="X32" s="6">
        <f t="shared" si="136"/>
        <v>2820</v>
      </c>
      <c r="Y32" s="6">
        <f t="shared" si="136"/>
        <v>2880</v>
      </c>
      <c r="Z32" s="6">
        <f t="shared" si="136"/>
        <v>2940</v>
      </c>
      <c r="AA32" s="6">
        <f t="shared" si="136"/>
        <v>3000</v>
      </c>
      <c r="AB32" s="6">
        <f t="shared" si="136"/>
        <v>3060</v>
      </c>
      <c r="AC32" s="6">
        <f t="shared" si="136"/>
        <v>3120</v>
      </c>
      <c r="AD32" s="6">
        <f t="shared" si="136"/>
        <v>3180</v>
      </c>
      <c r="AE32" s="6">
        <f t="shared" si="136"/>
        <v>3240</v>
      </c>
      <c r="AF32" s="6">
        <f t="shared" si="136"/>
        <v>3300</v>
      </c>
      <c r="AG32" s="6">
        <f t="shared" si="136"/>
        <v>3360</v>
      </c>
      <c r="AH32" s="6">
        <f t="shared" si="136"/>
        <v>3420</v>
      </c>
      <c r="AI32" s="6">
        <f t="shared" ref="AI32:BN32" si="137">$B32+60*AI$1</f>
        <v>3480</v>
      </c>
      <c r="AJ32" s="6">
        <f t="shared" si="137"/>
        <v>3540</v>
      </c>
      <c r="AK32" s="6">
        <f t="shared" si="137"/>
        <v>3600</v>
      </c>
      <c r="AL32" s="6">
        <f t="shared" si="137"/>
        <v>3660</v>
      </c>
      <c r="AM32" s="6">
        <f t="shared" si="137"/>
        <v>3720</v>
      </c>
      <c r="AN32" s="6">
        <f t="shared" si="137"/>
        <v>3780</v>
      </c>
      <c r="AO32" s="6">
        <f t="shared" si="137"/>
        <v>3840</v>
      </c>
      <c r="AP32" s="6">
        <f t="shared" si="137"/>
        <v>3900</v>
      </c>
      <c r="AQ32" s="6">
        <f t="shared" si="137"/>
        <v>3960</v>
      </c>
      <c r="AR32" s="6">
        <f t="shared" si="137"/>
        <v>4020</v>
      </c>
      <c r="AS32" s="6">
        <f t="shared" si="137"/>
        <v>4080</v>
      </c>
      <c r="AT32" s="6">
        <f t="shared" si="137"/>
        <v>4140</v>
      </c>
      <c r="AU32" s="6">
        <f t="shared" si="137"/>
        <v>4200</v>
      </c>
      <c r="AV32" s="5">
        <f t="shared" si="137"/>
        <v>4260</v>
      </c>
      <c r="AW32" s="6">
        <f t="shared" si="137"/>
        <v>4320</v>
      </c>
      <c r="AX32" s="6">
        <f t="shared" si="137"/>
        <v>4380</v>
      </c>
      <c r="AY32" s="6">
        <f t="shared" si="137"/>
        <v>4440</v>
      </c>
      <c r="AZ32" s="6">
        <f t="shared" si="137"/>
        <v>4500</v>
      </c>
      <c r="BA32" s="6">
        <f t="shared" si="137"/>
        <v>4560</v>
      </c>
      <c r="BB32" s="6">
        <f t="shared" si="137"/>
        <v>4620</v>
      </c>
      <c r="BC32" s="6">
        <f t="shared" si="137"/>
        <v>4680</v>
      </c>
      <c r="BD32" s="6">
        <f t="shared" si="137"/>
        <v>4740</v>
      </c>
      <c r="BE32" s="6">
        <f t="shared" si="137"/>
        <v>4800</v>
      </c>
      <c r="BF32" s="6">
        <f t="shared" si="137"/>
        <v>4860</v>
      </c>
      <c r="BG32" s="6">
        <f t="shared" si="137"/>
        <v>4920</v>
      </c>
      <c r="BH32" s="6">
        <f t="shared" si="137"/>
        <v>4980</v>
      </c>
      <c r="BI32" s="6">
        <f t="shared" si="137"/>
        <v>5040</v>
      </c>
      <c r="BJ32" s="6">
        <f t="shared" si="137"/>
        <v>5100</v>
      </c>
      <c r="BK32" s="6">
        <f t="shared" si="137"/>
        <v>5160</v>
      </c>
      <c r="BL32" s="6">
        <f t="shared" si="137"/>
        <v>5220</v>
      </c>
      <c r="BM32" s="6">
        <f t="shared" si="137"/>
        <v>5280</v>
      </c>
      <c r="BN32" s="6">
        <f t="shared" si="137"/>
        <v>5340</v>
      </c>
      <c r="BO32" s="6">
        <f t="shared" ref="BO32:BT32" si="138">$B32+60*BO$1</f>
        <v>5400</v>
      </c>
      <c r="BP32" s="6">
        <f t="shared" si="138"/>
        <v>5460</v>
      </c>
      <c r="BQ32" s="6">
        <f t="shared" si="138"/>
        <v>5520</v>
      </c>
      <c r="BR32" s="6">
        <f t="shared" si="138"/>
        <v>5580</v>
      </c>
      <c r="BS32" s="6">
        <f t="shared" si="138"/>
        <v>5640</v>
      </c>
      <c r="BT32" s="6">
        <f t="shared" si="138"/>
        <v>5700</v>
      </c>
    </row>
    <row r="33" spans="1:72" x14ac:dyDescent="0.2">
      <c r="A33" t="s">
        <v>67</v>
      </c>
      <c r="B33" s="7">
        <v>950</v>
      </c>
      <c r="C33" s="7">
        <f t="shared" ref="C33:AH33" si="139">$B33+57*C$1</f>
        <v>1007</v>
      </c>
      <c r="D33" s="7">
        <f t="shared" si="139"/>
        <v>1064</v>
      </c>
      <c r="E33" s="7">
        <f t="shared" si="139"/>
        <v>1121</v>
      </c>
      <c r="F33" s="7">
        <f t="shared" si="139"/>
        <v>1178</v>
      </c>
      <c r="G33" s="7">
        <f t="shared" si="139"/>
        <v>1235</v>
      </c>
      <c r="H33" s="7">
        <f t="shared" si="139"/>
        <v>1292</v>
      </c>
      <c r="I33" s="7">
        <f t="shared" si="139"/>
        <v>1349</v>
      </c>
      <c r="J33" s="7">
        <f t="shared" si="139"/>
        <v>1406</v>
      </c>
      <c r="K33" s="7">
        <f t="shared" si="139"/>
        <v>1463</v>
      </c>
      <c r="L33" s="7">
        <f t="shared" si="139"/>
        <v>1520</v>
      </c>
      <c r="M33" s="7">
        <f t="shared" si="139"/>
        <v>1577</v>
      </c>
      <c r="N33" s="7">
        <f t="shared" si="139"/>
        <v>1634</v>
      </c>
      <c r="O33" s="7">
        <f t="shared" si="139"/>
        <v>1691</v>
      </c>
      <c r="P33" s="7">
        <f t="shared" si="139"/>
        <v>1748</v>
      </c>
      <c r="Q33" s="7">
        <f t="shared" si="139"/>
        <v>1805</v>
      </c>
      <c r="R33" s="7">
        <f t="shared" si="139"/>
        <v>1862</v>
      </c>
      <c r="S33" s="7">
        <f t="shared" si="139"/>
        <v>1919</v>
      </c>
      <c r="T33" s="7">
        <f t="shared" si="139"/>
        <v>1976</v>
      </c>
      <c r="U33" s="7">
        <f t="shared" si="139"/>
        <v>2033</v>
      </c>
      <c r="V33" s="7">
        <f t="shared" si="139"/>
        <v>2090</v>
      </c>
      <c r="W33" s="7">
        <f t="shared" si="139"/>
        <v>2147</v>
      </c>
      <c r="X33" s="7">
        <f t="shared" si="139"/>
        <v>2204</v>
      </c>
      <c r="Y33" s="7">
        <f t="shared" si="139"/>
        <v>2261</v>
      </c>
      <c r="Z33" s="7">
        <f t="shared" si="139"/>
        <v>2318</v>
      </c>
      <c r="AA33" s="7">
        <f t="shared" si="139"/>
        <v>2375</v>
      </c>
      <c r="AB33" s="7">
        <f t="shared" si="139"/>
        <v>2432</v>
      </c>
      <c r="AC33" s="7">
        <f t="shared" si="139"/>
        <v>2489</v>
      </c>
      <c r="AD33" s="7">
        <f t="shared" si="139"/>
        <v>2546</v>
      </c>
      <c r="AE33" s="7">
        <f t="shared" si="139"/>
        <v>2603</v>
      </c>
      <c r="AF33" s="7">
        <f t="shared" si="139"/>
        <v>2660</v>
      </c>
      <c r="AG33" s="7">
        <f t="shared" si="139"/>
        <v>2717</v>
      </c>
      <c r="AH33" s="7">
        <f t="shared" si="139"/>
        <v>2774</v>
      </c>
      <c r="AI33" s="7">
        <f t="shared" ref="AI33:BN33" si="140">$B33+57*AI$1</f>
        <v>2831</v>
      </c>
      <c r="AJ33" s="7">
        <f t="shared" si="140"/>
        <v>2888</v>
      </c>
      <c r="AK33" s="7">
        <f t="shared" si="140"/>
        <v>2945</v>
      </c>
      <c r="AL33" s="7">
        <f t="shared" si="140"/>
        <v>3002</v>
      </c>
      <c r="AM33" s="7">
        <f t="shared" si="140"/>
        <v>3059</v>
      </c>
      <c r="AN33" s="7">
        <f t="shared" si="140"/>
        <v>3116</v>
      </c>
      <c r="AO33" s="7">
        <f t="shared" si="140"/>
        <v>3173</v>
      </c>
      <c r="AP33" s="7">
        <f t="shared" si="140"/>
        <v>3230</v>
      </c>
      <c r="AQ33" s="7">
        <f t="shared" si="140"/>
        <v>3287</v>
      </c>
      <c r="AR33" s="7">
        <f t="shared" si="140"/>
        <v>3344</v>
      </c>
      <c r="AS33" s="7">
        <f t="shared" si="140"/>
        <v>3401</v>
      </c>
      <c r="AT33" s="7">
        <f t="shared" si="140"/>
        <v>3458</v>
      </c>
      <c r="AU33" s="7">
        <f t="shared" si="140"/>
        <v>3515</v>
      </c>
      <c r="AV33" s="7">
        <f t="shared" si="140"/>
        <v>3572</v>
      </c>
      <c r="AW33" s="7">
        <f t="shared" si="140"/>
        <v>3629</v>
      </c>
      <c r="AX33" s="7">
        <f t="shared" si="140"/>
        <v>3686</v>
      </c>
      <c r="AY33" s="7">
        <f t="shared" si="140"/>
        <v>3743</v>
      </c>
      <c r="AZ33" s="7">
        <f t="shared" si="140"/>
        <v>3800</v>
      </c>
      <c r="BA33" s="7">
        <f t="shared" si="140"/>
        <v>3857</v>
      </c>
      <c r="BB33" s="7">
        <f t="shared" si="140"/>
        <v>3914</v>
      </c>
      <c r="BC33" s="7">
        <f t="shared" si="140"/>
        <v>3971</v>
      </c>
      <c r="BD33" s="7">
        <f t="shared" si="140"/>
        <v>4028</v>
      </c>
      <c r="BE33" s="7">
        <f t="shared" si="140"/>
        <v>4085</v>
      </c>
      <c r="BF33" s="7">
        <f t="shared" si="140"/>
        <v>4142</v>
      </c>
      <c r="BG33" s="7">
        <f t="shared" si="140"/>
        <v>4199</v>
      </c>
      <c r="BH33" s="7">
        <f t="shared" si="140"/>
        <v>4256</v>
      </c>
      <c r="BI33" s="7">
        <f t="shared" si="140"/>
        <v>4313</v>
      </c>
      <c r="BJ33" s="7">
        <f t="shared" si="140"/>
        <v>4370</v>
      </c>
      <c r="BK33" s="7">
        <f t="shared" si="140"/>
        <v>4427</v>
      </c>
      <c r="BL33" s="7">
        <f t="shared" si="140"/>
        <v>4484</v>
      </c>
      <c r="BM33" s="7">
        <f t="shared" si="140"/>
        <v>4541</v>
      </c>
      <c r="BN33" s="7">
        <f t="shared" si="140"/>
        <v>4598</v>
      </c>
      <c r="BO33" s="7">
        <f t="shared" ref="BO33:BT33" si="141">$B33+57*BO$1</f>
        <v>4655</v>
      </c>
      <c r="BP33" s="7">
        <f t="shared" si="141"/>
        <v>4712</v>
      </c>
      <c r="BQ33" s="7">
        <f t="shared" si="141"/>
        <v>4769</v>
      </c>
      <c r="BR33" s="7">
        <f t="shared" si="141"/>
        <v>4826</v>
      </c>
      <c r="BS33" s="7">
        <f t="shared" si="141"/>
        <v>4883</v>
      </c>
      <c r="BT33" s="7">
        <f t="shared" si="141"/>
        <v>4940</v>
      </c>
    </row>
    <row r="34" spans="1:72" x14ac:dyDescent="0.2">
      <c r="A34" t="s">
        <v>100</v>
      </c>
      <c r="B34" s="7">
        <v>1150</v>
      </c>
      <c r="C34" s="7">
        <f t="shared" ref="C34:AH34" si="142">$B34+69*C$1</f>
        <v>1219</v>
      </c>
      <c r="D34" s="7">
        <f t="shared" si="142"/>
        <v>1288</v>
      </c>
      <c r="E34" s="7">
        <f t="shared" si="142"/>
        <v>1357</v>
      </c>
      <c r="F34" s="7">
        <f t="shared" si="142"/>
        <v>1426</v>
      </c>
      <c r="G34" s="7">
        <f t="shared" si="142"/>
        <v>1495</v>
      </c>
      <c r="H34" s="7">
        <f t="shared" si="142"/>
        <v>1564</v>
      </c>
      <c r="I34" s="7">
        <f t="shared" si="142"/>
        <v>1633</v>
      </c>
      <c r="J34" s="7">
        <f t="shared" si="142"/>
        <v>1702</v>
      </c>
      <c r="K34" s="7">
        <f t="shared" si="142"/>
        <v>1771</v>
      </c>
      <c r="L34" s="7">
        <f t="shared" si="142"/>
        <v>1840</v>
      </c>
      <c r="M34" s="7">
        <f t="shared" si="142"/>
        <v>1909</v>
      </c>
      <c r="N34" s="7">
        <f t="shared" si="142"/>
        <v>1978</v>
      </c>
      <c r="O34" s="7">
        <f t="shared" si="142"/>
        <v>2047</v>
      </c>
      <c r="P34" s="7">
        <f t="shared" si="142"/>
        <v>2116</v>
      </c>
      <c r="Q34" s="7">
        <f t="shared" si="142"/>
        <v>2185</v>
      </c>
      <c r="R34" s="7">
        <f t="shared" si="142"/>
        <v>2254</v>
      </c>
      <c r="S34" s="7">
        <f t="shared" si="142"/>
        <v>2323</v>
      </c>
      <c r="T34" s="7">
        <f t="shared" si="142"/>
        <v>2392</v>
      </c>
      <c r="U34" s="7">
        <f t="shared" si="142"/>
        <v>2461</v>
      </c>
      <c r="V34" s="7">
        <f t="shared" si="142"/>
        <v>2530</v>
      </c>
      <c r="W34" s="7">
        <f t="shared" si="142"/>
        <v>2599</v>
      </c>
      <c r="X34" s="7">
        <f t="shared" si="142"/>
        <v>2668</v>
      </c>
      <c r="Y34" s="7">
        <f t="shared" si="142"/>
        <v>2737</v>
      </c>
      <c r="Z34" s="7">
        <f t="shared" si="142"/>
        <v>2806</v>
      </c>
      <c r="AA34" s="7">
        <f t="shared" si="142"/>
        <v>2875</v>
      </c>
      <c r="AB34" s="7">
        <f t="shared" si="142"/>
        <v>2944</v>
      </c>
      <c r="AC34" s="7">
        <f t="shared" si="142"/>
        <v>3013</v>
      </c>
      <c r="AD34" s="7">
        <f t="shared" si="142"/>
        <v>3082</v>
      </c>
      <c r="AE34" s="7">
        <f t="shared" si="142"/>
        <v>3151</v>
      </c>
      <c r="AF34" s="7">
        <f t="shared" si="142"/>
        <v>3220</v>
      </c>
      <c r="AG34" s="7">
        <f t="shared" si="142"/>
        <v>3289</v>
      </c>
      <c r="AH34" s="7">
        <f t="shared" si="142"/>
        <v>3358</v>
      </c>
      <c r="AI34" s="7">
        <f t="shared" ref="AI34:BN34" si="143">$B34+69*AI$1</f>
        <v>3427</v>
      </c>
      <c r="AJ34" s="7">
        <f t="shared" si="143"/>
        <v>3496</v>
      </c>
      <c r="AK34" s="7">
        <f t="shared" si="143"/>
        <v>3565</v>
      </c>
      <c r="AL34" s="7">
        <f t="shared" si="143"/>
        <v>3634</v>
      </c>
      <c r="AM34" s="7">
        <f t="shared" si="143"/>
        <v>3703</v>
      </c>
      <c r="AN34" s="7">
        <f t="shared" si="143"/>
        <v>3772</v>
      </c>
      <c r="AO34" s="7">
        <f t="shared" si="143"/>
        <v>3841</v>
      </c>
      <c r="AP34" s="7">
        <f t="shared" si="143"/>
        <v>3910</v>
      </c>
      <c r="AQ34" s="7">
        <f t="shared" si="143"/>
        <v>3979</v>
      </c>
      <c r="AR34" s="7">
        <f t="shared" si="143"/>
        <v>4048</v>
      </c>
      <c r="AS34" s="7">
        <f t="shared" si="143"/>
        <v>4117</v>
      </c>
      <c r="AT34" s="7">
        <f t="shared" si="143"/>
        <v>4186</v>
      </c>
      <c r="AU34" s="7">
        <f t="shared" si="143"/>
        <v>4255</v>
      </c>
      <c r="AV34" s="7">
        <f t="shared" si="143"/>
        <v>4324</v>
      </c>
      <c r="AW34" s="7">
        <f t="shared" si="143"/>
        <v>4393</v>
      </c>
      <c r="AX34" s="7">
        <f t="shared" si="143"/>
        <v>4462</v>
      </c>
      <c r="AY34" s="7">
        <f t="shared" si="143"/>
        <v>4531</v>
      </c>
      <c r="AZ34" s="7">
        <f t="shared" si="143"/>
        <v>4600</v>
      </c>
      <c r="BA34" s="7">
        <f t="shared" si="143"/>
        <v>4669</v>
      </c>
      <c r="BB34" s="7">
        <f t="shared" si="143"/>
        <v>4738</v>
      </c>
      <c r="BC34" s="7">
        <f t="shared" si="143"/>
        <v>4807</v>
      </c>
      <c r="BD34" s="7">
        <f t="shared" si="143"/>
        <v>4876</v>
      </c>
      <c r="BE34" s="7">
        <f t="shared" si="143"/>
        <v>4945</v>
      </c>
      <c r="BF34" s="7">
        <f t="shared" si="143"/>
        <v>5014</v>
      </c>
      <c r="BG34" s="7">
        <f t="shared" si="143"/>
        <v>5083</v>
      </c>
      <c r="BH34" s="7">
        <f t="shared" si="143"/>
        <v>5152</v>
      </c>
      <c r="BI34" s="7">
        <f t="shared" si="143"/>
        <v>5221</v>
      </c>
      <c r="BJ34" s="7">
        <f t="shared" si="143"/>
        <v>5290</v>
      </c>
      <c r="BK34" s="7">
        <f t="shared" si="143"/>
        <v>5359</v>
      </c>
      <c r="BL34" s="7">
        <f t="shared" si="143"/>
        <v>5428</v>
      </c>
      <c r="BM34" s="7">
        <f t="shared" si="143"/>
        <v>5497</v>
      </c>
      <c r="BN34" s="7">
        <f t="shared" si="143"/>
        <v>5566</v>
      </c>
      <c r="BO34" s="7">
        <f t="shared" ref="BO34:BT34" si="144">$B34+69*BO$1</f>
        <v>5635</v>
      </c>
      <c r="BP34" s="7">
        <f t="shared" si="144"/>
        <v>5704</v>
      </c>
      <c r="BQ34" s="7">
        <f t="shared" si="144"/>
        <v>5773</v>
      </c>
      <c r="BR34" s="7">
        <f t="shared" si="144"/>
        <v>5842</v>
      </c>
      <c r="BS34" s="7">
        <f t="shared" si="144"/>
        <v>5911</v>
      </c>
      <c r="BT34" s="7">
        <f t="shared" si="144"/>
        <v>5980</v>
      </c>
    </row>
    <row r="35" spans="1:72" x14ac:dyDescent="0.2">
      <c r="A35" t="s">
        <v>11</v>
      </c>
      <c r="B35" s="5">
        <v>259.14999999999998</v>
      </c>
      <c r="C35" s="5">
        <f t="shared" ref="C35:X35" si="145">ROUND($B35+46.85*C$1,0)</f>
        <v>306</v>
      </c>
      <c r="D35" s="5">
        <f t="shared" si="145"/>
        <v>353</v>
      </c>
      <c r="E35" s="5">
        <f t="shared" si="145"/>
        <v>400</v>
      </c>
      <c r="F35" s="5">
        <f t="shared" si="145"/>
        <v>447</v>
      </c>
      <c r="G35" s="5">
        <f t="shared" si="145"/>
        <v>493</v>
      </c>
      <c r="H35" s="5">
        <f t="shared" si="145"/>
        <v>540</v>
      </c>
      <c r="I35" s="5">
        <f t="shared" si="145"/>
        <v>587</v>
      </c>
      <c r="J35" s="5">
        <f t="shared" si="145"/>
        <v>634</v>
      </c>
      <c r="K35" s="5">
        <f t="shared" si="145"/>
        <v>681</v>
      </c>
      <c r="L35" s="5">
        <f t="shared" si="145"/>
        <v>728</v>
      </c>
      <c r="M35" s="5">
        <f t="shared" si="145"/>
        <v>775</v>
      </c>
      <c r="N35" s="5">
        <f t="shared" si="145"/>
        <v>821</v>
      </c>
      <c r="O35" s="7">
        <f t="shared" si="145"/>
        <v>868</v>
      </c>
      <c r="P35" s="5">
        <f t="shared" si="145"/>
        <v>915</v>
      </c>
      <c r="Q35" s="5">
        <f t="shared" si="145"/>
        <v>962</v>
      </c>
      <c r="R35" s="5">
        <f t="shared" si="145"/>
        <v>1009</v>
      </c>
      <c r="S35" s="5">
        <f t="shared" si="145"/>
        <v>1056</v>
      </c>
      <c r="T35" s="5">
        <f t="shared" si="145"/>
        <v>1102</v>
      </c>
      <c r="U35" s="5">
        <f t="shared" si="145"/>
        <v>1149</v>
      </c>
      <c r="V35" s="5">
        <f t="shared" si="145"/>
        <v>1196</v>
      </c>
      <c r="W35" s="5">
        <f t="shared" si="145"/>
        <v>1243</v>
      </c>
      <c r="X35" s="5">
        <f t="shared" si="145"/>
        <v>1290</v>
      </c>
      <c r="Y35" s="7">
        <v>1336</v>
      </c>
      <c r="Z35" s="5">
        <f>ROUND($B35+46.85*Z$1,0)</f>
        <v>1384</v>
      </c>
      <c r="AA35" s="7">
        <v>1430</v>
      </c>
      <c r="AB35" s="5">
        <f>ROUND($B35+46.85*AB$1,0)</f>
        <v>1477</v>
      </c>
      <c r="AC35" s="5">
        <f>ROUND($B35+46.85*AC$1,0)</f>
        <v>1524</v>
      </c>
      <c r="AD35" s="5">
        <f>ROUND($B35+46.85*AD$1,0)</f>
        <v>1571</v>
      </c>
      <c r="AE35" s="5">
        <f>ROUND($B35+46.85*AE$1,0)</f>
        <v>1618</v>
      </c>
      <c r="AF35" s="7">
        <v>1664</v>
      </c>
      <c r="AG35" s="5">
        <f>ROUND($B35+46.85*AG$1,0)</f>
        <v>1712</v>
      </c>
      <c r="AH35" s="7">
        <v>1757</v>
      </c>
      <c r="AI35" s="5">
        <f t="shared" ref="AI35:BT35" si="146">ROUND($B35+46.85*AI$1,0)</f>
        <v>1805</v>
      </c>
      <c r="AJ35" s="5">
        <f t="shared" si="146"/>
        <v>1852</v>
      </c>
      <c r="AK35" s="5">
        <f t="shared" si="146"/>
        <v>1899</v>
      </c>
      <c r="AL35" s="5">
        <f t="shared" si="146"/>
        <v>1946</v>
      </c>
      <c r="AM35" s="5">
        <f t="shared" si="146"/>
        <v>1993</v>
      </c>
      <c r="AN35" s="5">
        <f t="shared" si="146"/>
        <v>2039</v>
      </c>
      <c r="AO35" s="5">
        <f t="shared" si="146"/>
        <v>2086</v>
      </c>
      <c r="AP35" s="5">
        <f t="shared" si="146"/>
        <v>2133</v>
      </c>
      <c r="AQ35" s="5">
        <f t="shared" si="146"/>
        <v>2180</v>
      </c>
      <c r="AR35" s="5">
        <f t="shared" si="146"/>
        <v>2227</v>
      </c>
      <c r="AS35" s="5">
        <f t="shared" si="146"/>
        <v>2274</v>
      </c>
      <c r="AT35" s="5">
        <f t="shared" si="146"/>
        <v>2321</v>
      </c>
      <c r="AU35" s="5">
        <f t="shared" si="146"/>
        <v>2367</v>
      </c>
      <c r="AV35" s="5">
        <f t="shared" si="146"/>
        <v>2414</v>
      </c>
      <c r="AW35" s="5">
        <f t="shared" si="146"/>
        <v>2461</v>
      </c>
      <c r="AX35" s="5">
        <f t="shared" si="146"/>
        <v>2508</v>
      </c>
      <c r="AY35" s="5">
        <f t="shared" si="146"/>
        <v>2555</v>
      </c>
      <c r="AZ35" s="5">
        <f t="shared" si="146"/>
        <v>2602</v>
      </c>
      <c r="BA35" s="5">
        <f t="shared" si="146"/>
        <v>2649</v>
      </c>
      <c r="BB35" s="5">
        <f t="shared" si="146"/>
        <v>2695</v>
      </c>
      <c r="BC35" s="5">
        <f t="shared" si="146"/>
        <v>2742</v>
      </c>
      <c r="BD35" s="5">
        <f t="shared" si="146"/>
        <v>2789</v>
      </c>
      <c r="BE35" s="5">
        <f t="shared" si="146"/>
        <v>2836</v>
      </c>
      <c r="BF35" s="5">
        <f t="shared" si="146"/>
        <v>2883</v>
      </c>
      <c r="BG35" s="5">
        <f t="shared" si="146"/>
        <v>2930</v>
      </c>
      <c r="BH35" s="5">
        <f t="shared" si="146"/>
        <v>2976</v>
      </c>
      <c r="BI35" s="5">
        <f t="shared" si="146"/>
        <v>3023</v>
      </c>
      <c r="BJ35" s="5">
        <f t="shared" si="146"/>
        <v>3070</v>
      </c>
      <c r="BK35" s="5">
        <f t="shared" si="146"/>
        <v>3117</v>
      </c>
      <c r="BL35" s="5">
        <f t="shared" si="146"/>
        <v>3164</v>
      </c>
      <c r="BM35" s="5">
        <f t="shared" si="146"/>
        <v>3211</v>
      </c>
      <c r="BN35" s="5">
        <f t="shared" si="146"/>
        <v>3258</v>
      </c>
      <c r="BO35" s="5">
        <f t="shared" si="146"/>
        <v>3304</v>
      </c>
      <c r="BP35" s="5">
        <f t="shared" si="146"/>
        <v>3351</v>
      </c>
      <c r="BQ35" s="5">
        <f t="shared" si="146"/>
        <v>3398</v>
      </c>
      <c r="BR35" s="5">
        <f t="shared" si="146"/>
        <v>3445</v>
      </c>
      <c r="BS35" s="5">
        <f t="shared" si="146"/>
        <v>3492</v>
      </c>
      <c r="BT35" s="5">
        <f t="shared" si="146"/>
        <v>3539</v>
      </c>
    </row>
    <row r="36" spans="1:72" x14ac:dyDescent="0.2">
      <c r="A36" t="s">
        <v>30</v>
      </c>
      <c r="B36">
        <v>1050</v>
      </c>
      <c r="C36">
        <f t="shared" ref="C36:AH36" si="147">$B36+42*C$1</f>
        <v>1092</v>
      </c>
      <c r="D36">
        <f t="shared" si="147"/>
        <v>1134</v>
      </c>
      <c r="E36">
        <f t="shared" si="147"/>
        <v>1176</v>
      </c>
      <c r="F36">
        <f t="shared" si="147"/>
        <v>1218</v>
      </c>
      <c r="G36">
        <f t="shared" si="147"/>
        <v>1260</v>
      </c>
      <c r="H36">
        <f t="shared" si="147"/>
        <v>1302</v>
      </c>
      <c r="I36">
        <f t="shared" si="147"/>
        <v>1344</v>
      </c>
      <c r="J36">
        <f t="shared" si="147"/>
        <v>1386</v>
      </c>
      <c r="K36">
        <f t="shared" si="147"/>
        <v>1428</v>
      </c>
      <c r="L36">
        <f t="shared" si="147"/>
        <v>1470</v>
      </c>
      <c r="M36">
        <f t="shared" si="147"/>
        <v>1512</v>
      </c>
      <c r="N36">
        <f t="shared" si="147"/>
        <v>1554</v>
      </c>
      <c r="O36">
        <f t="shared" si="147"/>
        <v>1596</v>
      </c>
      <c r="P36">
        <f t="shared" si="147"/>
        <v>1638</v>
      </c>
      <c r="Q36">
        <f t="shared" si="147"/>
        <v>1680</v>
      </c>
      <c r="R36">
        <f t="shared" si="147"/>
        <v>1722</v>
      </c>
      <c r="S36">
        <f t="shared" si="147"/>
        <v>1764</v>
      </c>
      <c r="T36">
        <f t="shared" si="147"/>
        <v>1806</v>
      </c>
      <c r="U36">
        <f t="shared" si="147"/>
        <v>1848</v>
      </c>
      <c r="V36">
        <f t="shared" si="147"/>
        <v>1890</v>
      </c>
      <c r="W36">
        <f t="shared" si="147"/>
        <v>1932</v>
      </c>
      <c r="X36">
        <f t="shared" si="147"/>
        <v>1974</v>
      </c>
      <c r="Y36">
        <f t="shared" si="147"/>
        <v>2016</v>
      </c>
      <c r="Z36">
        <f t="shared" si="147"/>
        <v>2058</v>
      </c>
      <c r="AA36">
        <f t="shared" si="147"/>
        <v>2100</v>
      </c>
      <c r="AB36">
        <f t="shared" si="147"/>
        <v>2142</v>
      </c>
      <c r="AC36">
        <f t="shared" si="147"/>
        <v>2184</v>
      </c>
      <c r="AD36">
        <f t="shared" si="147"/>
        <v>2226</v>
      </c>
      <c r="AE36">
        <f t="shared" si="147"/>
        <v>2268</v>
      </c>
      <c r="AF36">
        <f t="shared" si="147"/>
        <v>2310</v>
      </c>
      <c r="AG36">
        <f t="shared" si="147"/>
        <v>2352</v>
      </c>
      <c r="AH36">
        <f t="shared" si="147"/>
        <v>2394</v>
      </c>
      <c r="AI36">
        <f t="shared" ref="AI36:BN36" si="148">$B36+42*AI$1</f>
        <v>2436</v>
      </c>
      <c r="AJ36">
        <f t="shared" si="148"/>
        <v>2478</v>
      </c>
      <c r="AK36">
        <f t="shared" si="148"/>
        <v>2520</v>
      </c>
      <c r="AL36">
        <f t="shared" si="148"/>
        <v>2562</v>
      </c>
      <c r="AM36">
        <f t="shared" si="148"/>
        <v>2604</v>
      </c>
      <c r="AN36">
        <f t="shared" si="148"/>
        <v>2646</v>
      </c>
      <c r="AO36">
        <f t="shared" si="148"/>
        <v>2688</v>
      </c>
      <c r="AP36">
        <f t="shared" si="148"/>
        <v>2730</v>
      </c>
      <c r="AQ36" s="5">
        <f t="shared" si="148"/>
        <v>2772</v>
      </c>
      <c r="AR36" s="5">
        <f t="shared" si="148"/>
        <v>2814</v>
      </c>
      <c r="AS36">
        <f t="shared" si="148"/>
        <v>2856</v>
      </c>
      <c r="AT36">
        <f t="shared" si="148"/>
        <v>2898</v>
      </c>
      <c r="AU36">
        <f t="shared" si="148"/>
        <v>2940</v>
      </c>
      <c r="AV36">
        <f t="shared" si="148"/>
        <v>2982</v>
      </c>
      <c r="AW36">
        <f t="shared" si="148"/>
        <v>3024</v>
      </c>
      <c r="AX36">
        <f t="shared" si="148"/>
        <v>3066</v>
      </c>
      <c r="AY36">
        <f t="shared" si="148"/>
        <v>3108</v>
      </c>
      <c r="AZ36">
        <f t="shared" si="148"/>
        <v>3150</v>
      </c>
      <c r="BA36">
        <f t="shared" si="148"/>
        <v>3192</v>
      </c>
      <c r="BB36">
        <f t="shared" si="148"/>
        <v>3234</v>
      </c>
      <c r="BC36">
        <f t="shared" si="148"/>
        <v>3276</v>
      </c>
      <c r="BD36">
        <f t="shared" si="148"/>
        <v>3318</v>
      </c>
      <c r="BE36">
        <f t="shared" si="148"/>
        <v>3360</v>
      </c>
      <c r="BF36">
        <f t="shared" si="148"/>
        <v>3402</v>
      </c>
      <c r="BG36" s="5">
        <f t="shared" si="148"/>
        <v>3444</v>
      </c>
      <c r="BH36">
        <f t="shared" si="148"/>
        <v>3486</v>
      </c>
      <c r="BI36">
        <f t="shared" si="148"/>
        <v>3528</v>
      </c>
      <c r="BJ36">
        <f t="shared" si="148"/>
        <v>3570</v>
      </c>
      <c r="BK36">
        <f t="shared" si="148"/>
        <v>3612</v>
      </c>
      <c r="BL36">
        <f t="shared" si="148"/>
        <v>3654</v>
      </c>
      <c r="BM36">
        <f t="shared" si="148"/>
        <v>3696</v>
      </c>
      <c r="BN36">
        <f t="shared" si="148"/>
        <v>3738</v>
      </c>
      <c r="BO36">
        <f t="shared" ref="BO36:BT36" si="149">$B36+42*BO$1</f>
        <v>3780</v>
      </c>
      <c r="BP36">
        <f t="shared" si="149"/>
        <v>3822</v>
      </c>
      <c r="BQ36">
        <f t="shared" si="149"/>
        <v>3864</v>
      </c>
      <c r="BR36">
        <f t="shared" si="149"/>
        <v>3906</v>
      </c>
      <c r="BS36">
        <f t="shared" si="149"/>
        <v>3948</v>
      </c>
      <c r="BT36">
        <f t="shared" si="149"/>
        <v>3990</v>
      </c>
    </row>
    <row r="37" spans="1:72" x14ac:dyDescent="0.2">
      <c r="A37" t="s">
        <v>17</v>
      </c>
      <c r="B37">
        <v>2900</v>
      </c>
      <c r="C37">
        <f t="shared" ref="C37:AH37" si="150">$B37+116*C$1</f>
        <v>3016</v>
      </c>
      <c r="D37">
        <f t="shared" si="150"/>
        <v>3132</v>
      </c>
      <c r="E37">
        <f t="shared" si="150"/>
        <v>3248</v>
      </c>
      <c r="F37">
        <f t="shared" si="150"/>
        <v>3364</v>
      </c>
      <c r="G37">
        <f t="shared" si="150"/>
        <v>3480</v>
      </c>
      <c r="H37">
        <f t="shared" si="150"/>
        <v>3596</v>
      </c>
      <c r="I37">
        <f t="shared" si="150"/>
        <v>3712</v>
      </c>
      <c r="J37">
        <f t="shared" si="150"/>
        <v>3828</v>
      </c>
      <c r="K37">
        <f t="shared" si="150"/>
        <v>3944</v>
      </c>
      <c r="L37">
        <f t="shared" si="150"/>
        <v>4060</v>
      </c>
      <c r="M37">
        <f t="shared" si="150"/>
        <v>4176</v>
      </c>
      <c r="N37">
        <f t="shared" si="150"/>
        <v>4292</v>
      </c>
      <c r="O37">
        <f t="shared" si="150"/>
        <v>4408</v>
      </c>
      <c r="P37">
        <f t="shared" si="150"/>
        <v>4524</v>
      </c>
      <c r="Q37">
        <f t="shared" si="150"/>
        <v>4640</v>
      </c>
      <c r="R37">
        <f t="shared" si="150"/>
        <v>4756</v>
      </c>
      <c r="S37">
        <f t="shared" si="150"/>
        <v>4872</v>
      </c>
      <c r="T37">
        <f t="shared" si="150"/>
        <v>4988</v>
      </c>
      <c r="U37">
        <f t="shared" si="150"/>
        <v>5104</v>
      </c>
      <c r="V37">
        <f t="shared" si="150"/>
        <v>5220</v>
      </c>
      <c r="W37">
        <f t="shared" si="150"/>
        <v>5336</v>
      </c>
      <c r="X37">
        <f t="shared" si="150"/>
        <v>5452</v>
      </c>
      <c r="Y37">
        <f t="shared" si="150"/>
        <v>5568</v>
      </c>
      <c r="Z37">
        <f t="shared" si="150"/>
        <v>5684</v>
      </c>
      <c r="AA37">
        <f t="shared" si="150"/>
        <v>5800</v>
      </c>
      <c r="AB37">
        <f t="shared" si="150"/>
        <v>5916</v>
      </c>
      <c r="AC37">
        <f t="shared" si="150"/>
        <v>6032</v>
      </c>
      <c r="AD37">
        <f t="shared" si="150"/>
        <v>6148</v>
      </c>
      <c r="AE37">
        <f t="shared" si="150"/>
        <v>6264</v>
      </c>
      <c r="AF37">
        <f t="shared" si="150"/>
        <v>6380</v>
      </c>
      <c r="AG37">
        <f t="shared" si="150"/>
        <v>6496</v>
      </c>
      <c r="AH37">
        <f t="shared" si="150"/>
        <v>6612</v>
      </c>
      <c r="AI37">
        <f t="shared" ref="AI37:BN37" si="151">$B37+116*AI$1</f>
        <v>6728</v>
      </c>
      <c r="AJ37">
        <f t="shared" si="151"/>
        <v>6844</v>
      </c>
      <c r="AK37">
        <f t="shared" si="151"/>
        <v>6960</v>
      </c>
      <c r="AL37">
        <f t="shared" si="151"/>
        <v>7076</v>
      </c>
      <c r="AM37">
        <f t="shared" si="151"/>
        <v>7192</v>
      </c>
      <c r="AN37">
        <f t="shared" si="151"/>
        <v>7308</v>
      </c>
      <c r="AO37">
        <f t="shared" si="151"/>
        <v>7424</v>
      </c>
      <c r="AP37">
        <f t="shared" si="151"/>
        <v>7540</v>
      </c>
      <c r="AQ37">
        <f t="shared" si="151"/>
        <v>7656</v>
      </c>
      <c r="AR37">
        <f t="shared" si="151"/>
        <v>7772</v>
      </c>
      <c r="AS37">
        <f t="shared" si="151"/>
        <v>7888</v>
      </c>
      <c r="AT37">
        <f t="shared" si="151"/>
        <v>8004</v>
      </c>
      <c r="AU37">
        <f t="shared" si="151"/>
        <v>8120</v>
      </c>
      <c r="AV37">
        <f t="shared" si="151"/>
        <v>8236</v>
      </c>
      <c r="AW37">
        <f t="shared" si="151"/>
        <v>8352</v>
      </c>
      <c r="AX37">
        <f t="shared" si="151"/>
        <v>8468</v>
      </c>
      <c r="AY37">
        <f t="shared" si="151"/>
        <v>8584</v>
      </c>
      <c r="AZ37">
        <f t="shared" si="151"/>
        <v>8700</v>
      </c>
      <c r="BA37">
        <f t="shared" si="151"/>
        <v>8816</v>
      </c>
      <c r="BB37">
        <f t="shared" si="151"/>
        <v>8932</v>
      </c>
      <c r="BC37">
        <f t="shared" si="151"/>
        <v>9048</v>
      </c>
      <c r="BD37">
        <f t="shared" si="151"/>
        <v>9164</v>
      </c>
      <c r="BE37">
        <f t="shared" si="151"/>
        <v>9280</v>
      </c>
      <c r="BF37">
        <f t="shared" si="151"/>
        <v>9396</v>
      </c>
      <c r="BG37">
        <f t="shared" si="151"/>
        <v>9512</v>
      </c>
      <c r="BH37">
        <f t="shared" si="151"/>
        <v>9628</v>
      </c>
      <c r="BI37">
        <f t="shared" si="151"/>
        <v>9744</v>
      </c>
      <c r="BJ37">
        <f t="shared" si="151"/>
        <v>9860</v>
      </c>
      <c r="BK37">
        <f t="shared" si="151"/>
        <v>9976</v>
      </c>
      <c r="BL37">
        <f t="shared" si="151"/>
        <v>10092</v>
      </c>
      <c r="BM37">
        <f t="shared" si="151"/>
        <v>10208</v>
      </c>
      <c r="BN37">
        <f t="shared" si="151"/>
        <v>10324</v>
      </c>
      <c r="BO37">
        <f t="shared" ref="BO37:BT37" si="152">$B37+116*BO$1</f>
        <v>10440</v>
      </c>
      <c r="BP37">
        <f t="shared" si="152"/>
        <v>10556</v>
      </c>
      <c r="BQ37">
        <f t="shared" si="152"/>
        <v>10672</v>
      </c>
      <c r="BR37">
        <f t="shared" si="152"/>
        <v>10788</v>
      </c>
      <c r="BS37">
        <f t="shared" si="152"/>
        <v>10904</v>
      </c>
      <c r="BT37">
        <f t="shared" si="152"/>
        <v>11020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 alignWithMargins="0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37CBB-8904-4EDE-9EB1-A1FC7FE96770}">
  <dimension ref="A1:BT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6" sqref="C6"/>
    </sheetView>
  </sheetViews>
  <sheetFormatPr defaultColWidth="11.5" defaultRowHeight="12.9" x14ac:dyDescent="0.2"/>
  <cols>
    <col min="1" max="1" width="19.25" customWidth="1"/>
    <col min="2" max="72" width="6.375" customWidth="1"/>
  </cols>
  <sheetData>
    <row r="1" spans="1:72" x14ac:dyDescent="0.2">
      <c r="B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</row>
    <row r="2" spans="1:72" x14ac:dyDescent="0.2">
      <c r="A2" s="10" t="s">
        <v>100</v>
      </c>
      <c r="B2" s="10">
        <v>1150</v>
      </c>
      <c r="C2" s="3">
        <f t="shared" ref="C2:AJ2" si="0">$B2+69*C1</f>
        <v>1219</v>
      </c>
      <c r="D2" s="3">
        <f t="shared" si="0"/>
        <v>1288</v>
      </c>
      <c r="E2" s="3">
        <f t="shared" si="0"/>
        <v>1357</v>
      </c>
      <c r="F2" s="3">
        <f t="shared" si="0"/>
        <v>1426</v>
      </c>
      <c r="G2" s="3">
        <f t="shared" si="0"/>
        <v>1495</v>
      </c>
      <c r="H2" s="3">
        <f t="shared" si="0"/>
        <v>1564</v>
      </c>
      <c r="I2" s="3">
        <f t="shared" si="0"/>
        <v>1633</v>
      </c>
      <c r="J2" s="3">
        <f t="shared" si="0"/>
        <v>1702</v>
      </c>
      <c r="K2" s="3">
        <f t="shared" si="0"/>
        <v>1771</v>
      </c>
      <c r="L2" s="3">
        <f t="shared" si="0"/>
        <v>1840</v>
      </c>
      <c r="M2" s="3">
        <f t="shared" si="0"/>
        <v>1909</v>
      </c>
      <c r="N2" s="3">
        <f t="shared" si="0"/>
        <v>1978</v>
      </c>
      <c r="O2" s="3">
        <f t="shared" si="0"/>
        <v>2047</v>
      </c>
      <c r="P2" s="3">
        <f t="shared" si="0"/>
        <v>2116</v>
      </c>
      <c r="Q2" s="3">
        <f t="shared" si="0"/>
        <v>2185</v>
      </c>
      <c r="R2" s="3">
        <f t="shared" si="0"/>
        <v>2254</v>
      </c>
      <c r="S2" s="3">
        <f t="shared" si="0"/>
        <v>2323</v>
      </c>
      <c r="T2" s="3">
        <f t="shared" si="0"/>
        <v>2392</v>
      </c>
      <c r="U2" s="3">
        <f t="shared" si="0"/>
        <v>2461</v>
      </c>
      <c r="V2" s="3">
        <f t="shared" si="0"/>
        <v>2530</v>
      </c>
      <c r="W2" s="3">
        <f t="shared" si="0"/>
        <v>2599</v>
      </c>
      <c r="X2" s="3">
        <f t="shared" si="0"/>
        <v>2668</v>
      </c>
      <c r="Y2" s="3">
        <f t="shared" si="0"/>
        <v>2737</v>
      </c>
      <c r="Z2" s="3">
        <f t="shared" si="0"/>
        <v>2806</v>
      </c>
      <c r="AA2" s="3">
        <f t="shared" si="0"/>
        <v>2875</v>
      </c>
      <c r="AB2" s="3">
        <f t="shared" si="0"/>
        <v>2944</v>
      </c>
      <c r="AC2" s="3">
        <f t="shared" si="0"/>
        <v>3013</v>
      </c>
      <c r="AD2" s="3">
        <f t="shared" si="0"/>
        <v>3082</v>
      </c>
      <c r="AE2" s="3">
        <f t="shared" si="0"/>
        <v>3151</v>
      </c>
      <c r="AF2" s="3">
        <f t="shared" si="0"/>
        <v>3220</v>
      </c>
      <c r="AG2" s="3">
        <f t="shared" si="0"/>
        <v>3289</v>
      </c>
      <c r="AH2" s="3">
        <f t="shared" si="0"/>
        <v>3358</v>
      </c>
      <c r="AI2" s="3">
        <f t="shared" si="0"/>
        <v>3427</v>
      </c>
      <c r="AJ2" s="3">
        <f t="shared" si="0"/>
        <v>3496</v>
      </c>
    </row>
    <row r="3" spans="1:72" x14ac:dyDescent="0.2">
      <c r="A3" t="s">
        <v>2</v>
      </c>
      <c r="C3" s="3">
        <v>12</v>
      </c>
      <c r="D3" s="3"/>
      <c r="E3" s="3">
        <v>13</v>
      </c>
      <c r="F3" s="3"/>
      <c r="G3" s="3"/>
      <c r="H3" s="3">
        <v>14</v>
      </c>
      <c r="I3" s="3">
        <v>15</v>
      </c>
      <c r="J3" s="3">
        <v>15</v>
      </c>
      <c r="K3" s="3"/>
      <c r="L3" s="3"/>
      <c r="M3" s="3"/>
      <c r="N3" s="3"/>
      <c r="O3" s="3"/>
      <c r="P3" s="3"/>
      <c r="Q3" s="3"/>
      <c r="R3" s="3"/>
      <c r="S3" s="3"/>
      <c r="T3" s="2"/>
      <c r="U3" s="2"/>
      <c r="V3" s="2"/>
      <c r="W3" s="2"/>
      <c r="X3" s="2"/>
      <c r="Y3" s="2"/>
      <c r="Z3" s="2"/>
      <c r="AA3" s="2"/>
      <c r="AB3" s="2"/>
      <c r="AC3" s="2">
        <v>24</v>
      </c>
      <c r="AD3" s="2"/>
      <c r="AE3" s="2"/>
    </row>
    <row r="4" spans="1:72" x14ac:dyDescent="0.2">
      <c r="A4" t="s">
        <v>28</v>
      </c>
      <c r="BH4">
        <v>8831</v>
      </c>
    </row>
    <row r="5" spans="1:72" x14ac:dyDescent="0.2">
      <c r="A5" t="s">
        <v>101</v>
      </c>
      <c r="AD5">
        <v>121</v>
      </c>
      <c r="AF5">
        <v>128</v>
      </c>
      <c r="AG5" t="s">
        <v>102</v>
      </c>
      <c r="AK5">
        <v>144</v>
      </c>
      <c r="AS5">
        <v>169</v>
      </c>
      <c r="AT5">
        <v>172</v>
      </c>
    </row>
    <row r="6" spans="1:72" x14ac:dyDescent="0.2">
      <c r="A6" t="s">
        <v>103</v>
      </c>
      <c r="B6">
        <v>450</v>
      </c>
      <c r="C6">
        <f t="shared" ref="C6:I6" si="1">ROUND(($B6+46*C1)/20,0)</f>
        <v>25</v>
      </c>
      <c r="D6">
        <f t="shared" si="1"/>
        <v>27</v>
      </c>
      <c r="E6">
        <f t="shared" si="1"/>
        <v>29</v>
      </c>
      <c r="F6">
        <f t="shared" si="1"/>
        <v>32</v>
      </c>
      <c r="G6">
        <f t="shared" si="1"/>
        <v>34</v>
      </c>
      <c r="H6">
        <f t="shared" si="1"/>
        <v>36</v>
      </c>
      <c r="I6">
        <f t="shared" si="1"/>
        <v>39</v>
      </c>
      <c r="J6" s="5">
        <v>41</v>
      </c>
      <c r="K6" s="5">
        <f t="shared" ref="K6:AA6" si="2">ROUND(($B6+46*K1)/20,0)</f>
        <v>43</v>
      </c>
      <c r="L6" s="5">
        <f t="shared" si="2"/>
        <v>46</v>
      </c>
      <c r="M6">
        <f t="shared" si="2"/>
        <v>48</v>
      </c>
      <c r="N6">
        <f t="shared" si="2"/>
        <v>50</v>
      </c>
      <c r="O6">
        <f t="shared" si="2"/>
        <v>52</v>
      </c>
      <c r="P6" s="5">
        <f t="shared" si="2"/>
        <v>55</v>
      </c>
      <c r="Q6">
        <f t="shared" si="2"/>
        <v>57</v>
      </c>
      <c r="R6">
        <f t="shared" si="2"/>
        <v>59</v>
      </c>
      <c r="S6">
        <f t="shared" si="2"/>
        <v>62</v>
      </c>
      <c r="T6">
        <f t="shared" si="2"/>
        <v>64</v>
      </c>
      <c r="U6">
        <f t="shared" si="2"/>
        <v>66</v>
      </c>
      <c r="V6">
        <f t="shared" si="2"/>
        <v>69</v>
      </c>
      <c r="W6">
        <f t="shared" si="2"/>
        <v>71</v>
      </c>
      <c r="X6">
        <f t="shared" si="2"/>
        <v>73</v>
      </c>
      <c r="Y6">
        <f t="shared" si="2"/>
        <v>75</v>
      </c>
      <c r="Z6">
        <f t="shared" si="2"/>
        <v>78</v>
      </c>
      <c r="AA6">
        <f t="shared" si="2"/>
        <v>80</v>
      </c>
      <c r="AB6" s="5">
        <v>82</v>
      </c>
      <c r="AC6">
        <f t="shared" ref="AC6:BF6" si="3">ROUND(($B6+46*AC1)/20,0)</f>
        <v>85</v>
      </c>
      <c r="AD6">
        <f t="shared" si="3"/>
        <v>87</v>
      </c>
      <c r="AE6">
        <f t="shared" si="3"/>
        <v>89</v>
      </c>
      <c r="AF6">
        <f t="shared" si="3"/>
        <v>92</v>
      </c>
      <c r="AG6">
        <f t="shared" si="3"/>
        <v>94</v>
      </c>
      <c r="AH6">
        <f t="shared" si="3"/>
        <v>96</v>
      </c>
      <c r="AI6">
        <f t="shared" si="3"/>
        <v>98</v>
      </c>
      <c r="AJ6">
        <f t="shared" si="3"/>
        <v>101</v>
      </c>
      <c r="AK6">
        <f t="shared" si="3"/>
        <v>103</v>
      </c>
      <c r="AL6">
        <f t="shared" si="3"/>
        <v>105</v>
      </c>
      <c r="AM6">
        <f t="shared" si="3"/>
        <v>108</v>
      </c>
      <c r="AN6">
        <f t="shared" si="3"/>
        <v>110</v>
      </c>
      <c r="AO6">
        <f t="shared" si="3"/>
        <v>112</v>
      </c>
      <c r="AP6">
        <f t="shared" si="3"/>
        <v>115</v>
      </c>
      <c r="AQ6">
        <f t="shared" si="3"/>
        <v>117</v>
      </c>
      <c r="AR6">
        <f t="shared" si="3"/>
        <v>119</v>
      </c>
      <c r="AS6">
        <f t="shared" si="3"/>
        <v>121</v>
      </c>
      <c r="AT6">
        <f t="shared" si="3"/>
        <v>124</v>
      </c>
      <c r="AU6">
        <f t="shared" si="3"/>
        <v>126</v>
      </c>
      <c r="AV6">
        <f t="shared" si="3"/>
        <v>128</v>
      </c>
      <c r="AW6">
        <f t="shared" si="3"/>
        <v>131</v>
      </c>
      <c r="AX6">
        <f t="shared" si="3"/>
        <v>133</v>
      </c>
      <c r="AY6">
        <f t="shared" si="3"/>
        <v>135</v>
      </c>
      <c r="AZ6">
        <f t="shared" si="3"/>
        <v>138</v>
      </c>
      <c r="BA6">
        <f t="shared" si="3"/>
        <v>140</v>
      </c>
      <c r="BB6">
        <f t="shared" si="3"/>
        <v>142</v>
      </c>
      <c r="BC6">
        <f t="shared" si="3"/>
        <v>144</v>
      </c>
      <c r="BD6">
        <f t="shared" si="3"/>
        <v>147</v>
      </c>
      <c r="BE6">
        <f t="shared" si="3"/>
        <v>149</v>
      </c>
      <c r="BF6">
        <f t="shared" si="3"/>
        <v>151</v>
      </c>
    </row>
    <row r="7" spans="1:72" x14ac:dyDescent="0.2">
      <c r="A7" t="s">
        <v>43</v>
      </c>
      <c r="AU7" s="6">
        <v>210</v>
      </c>
      <c r="AY7">
        <v>222</v>
      </c>
      <c r="BE7" s="6">
        <v>240</v>
      </c>
      <c r="BF7">
        <v>243</v>
      </c>
      <c r="BG7">
        <v>246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 alignWithMargins="0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A4345-08CE-43C7-B1AF-09C0DD4E6F58}">
  <dimension ref="A1:BT9"/>
  <sheetViews>
    <sheetView tabSelected="1" workbookViewId="0">
      <pane xSplit="1" ySplit="1" topLeftCell="BN2" activePane="bottomRight" state="frozen"/>
      <selection pane="topRight" activeCell="BN1" sqref="BN1"/>
      <selection pane="bottomLeft" activeCell="A2" sqref="A2"/>
      <selection pane="bottomRight" activeCell="AV3" sqref="AV3"/>
    </sheetView>
  </sheetViews>
  <sheetFormatPr defaultColWidth="11.5" defaultRowHeight="12.9" x14ac:dyDescent="0.2"/>
  <cols>
    <col min="1" max="1" width="19.25" customWidth="1"/>
    <col min="2" max="72" width="6.375" customWidth="1"/>
  </cols>
  <sheetData>
    <row r="1" spans="1:72" x14ac:dyDescent="0.2">
      <c r="B1" s="11">
        <v>0</v>
      </c>
      <c r="C1" s="11">
        <v>1</v>
      </c>
      <c r="D1" s="11">
        <v>2</v>
      </c>
      <c r="E1" s="11">
        <v>3</v>
      </c>
      <c r="F1" s="11">
        <v>4</v>
      </c>
      <c r="G1" s="11">
        <v>5</v>
      </c>
      <c r="H1" s="11">
        <v>6</v>
      </c>
      <c r="I1" s="11">
        <v>7</v>
      </c>
      <c r="J1" s="11">
        <v>8</v>
      </c>
      <c r="K1" s="11">
        <v>9</v>
      </c>
      <c r="L1" s="11">
        <v>10</v>
      </c>
      <c r="M1" s="11">
        <v>11</v>
      </c>
      <c r="N1" s="11">
        <v>12</v>
      </c>
      <c r="O1" s="11">
        <v>13</v>
      </c>
      <c r="P1" s="11">
        <v>14</v>
      </c>
      <c r="Q1" s="11">
        <v>15</v>
      </c>
      <c r="R1" s="11">
        <v>16</v>
      </c>
      <c r="S1" s="11">
        <v>17</v>
      </c>
      <c r="T1" s="11">
        <v>18</v>
      </c>
      <c r="U1" s="11">
        <v>19</v>
      </c>
      <c r="V1" s="11">
        <v>20</v>
      </c>
      <c r="W1" s="11">
        <v>21</v>
      </c>
      <c r="X1" s="11">
        <v>22</v>
      </c>
      <c r="Y1" s="11">
        <v>23</v>
      </c>
      <c r="Z1" s="11">
        <v>24</v>
      </c>
      <c r="AA1" s="11">
        <v>25</v>
      </c>
      <c r="AB1" s="11">
        <v>26</v>
      </c>
      <c r="AC1" s="11">
        <v>27</v>
      </c>
      <c r="AD1" s="11">
        <v>28</v>
      </c>
      <c r="AE1" s="11">
        <v>29</v>
      </c>
      <c r="AF1" s="11">
        <v>30</v>
      </c>
      <c r="AG1" s="11">
        <v>31</v>
      </c>
      <c r="AH1" s="11">
        <v>32</v>
      </c>
      <c r="AI1" s="11">
        <v>33</v>
      </c>
      <c r="AJ1" s="11">
        <v>34</v>
      </c>
      <c r="AK1" s="11">
        <v>35</v>
      </c>
      <c r="AL1" s="11">
        <v>36</v>
      </c>
      <c r="AM1" s="11">
        <v>37</v>
      </c>
      <c r="AN1" s="11">
        <v>38</v>
      </c>
      <c r="AO1" s="11">
        <v>39</v>
      </c>
      <c r="AP1" s="11">
        <v>40</v>
      </c>
      <c r="AQ1" s="11">
        <v>41</v>
      </c>
      <c r="AR1" s="11">
        <v>42</v>
      </c>
      <c r="AS1" s="11">
        <v>43</v>
      </c>
      <c r="AT1" s="11">
        <v>44</v>
      </c>
      <c r="AU1" s="11">
        <v>45</v>
      </c>
      <c r="AV1" s="11">
        <v>46</v>
      </c>
      <c r="AW1" s="11">
        <v>47</v>
      </c>
      <c r="AX1" s="11">
        <v>48</v>
      </c>
      <c r="AY1" s="11">
        <v>49</v>
      </c>
      <c r="AZ1" s="11">
        <v>50</v>
      </c>
      <c r="BA1" s="11">
        <v>51</v>
      </c>
      <c r="BB1" s="11">
        <v>52</v>
      </c>
      <c r="BC1" s="11">
        <v>53</v>
      </c>
      <c r="BD1" s="11">
        <v>54</v>
      </c>
      <c r="BE1" s="11">
        <v>55</v>
      </c>
      <c r="BF1" s="11">
        <v>56</v>
      </c>
      <c r="BG1" s="11">
        <v>57</v>
      </c>
      <c r="BH1" s="11">
        <v>58</v>
      </c>
      <c r="BI1" s="11">
        <v>59</v>
      </c>
      <c r="BJ1" s="11">
        <v>60</v>
      </c>
      <c r="BK1" s="11">
        <v>61</v>
      </c>
      <c r="BL1" s="11">
        <v>62</v>
      </c>
      <c r="BM1" s="11">
        <v>63</v>
      </c>
      <c r="BN1" s="11">
        <v>64</v>
      </c>
      <c r="BO1" s="11">
        <v>65</v>
      </c>
      <c r="BP1" s="11">
        <v>66</v>
      </c>
      <c r="BQ1" s="11">
        <v>67</v>
      </c>
      <c r="BR1" s="11">
        <v>68</v>
      </c>
      <c r="BS1" s="11">
        <v>69</v>
      </c>
      <c r="BT1" s="11">
        <v>70</v>
      </c>
    </row>
    <row r="2" spans="1:72" x14ac:dyDescent="0.2">
      <c r="A2" t="s">
        <v>104</v>
      </c>
      <c r="B2">
        <v>21.25</v>
      </c>
      <c r="C2">
        <v>25</v>
      </c>
      <c r="D2" s="6">
        <f>ROUNDDOWN($B2+3.75*D1,0)</f>
        <v>28</v>
      </c>
      <c r="E2" s="5">
        <v>32</v>
      </c>
      <c r="F2" s="6">
        <f>ROUNDDOWN($B2+3.75*F1,0)</f>
        <v>36</v>
      </c>
      <c r="G2" s="6">
        <f>ROUNDDOWN($B2+3.75*G1,0)</f>
        <v>40</v>
      </c>
      <c r="H2">
        <v>43</v>
      </c>
      <c r="I2" s="5">
        <v>47</v>
      </c>
      <c r="J2" s="6">
        <f>ROUNDDOWN($B2+3.75*J1,0)</f>
        <v>51</v>
      </c>
      <c r="K2" s="12">
        <f>ROUNDDOWN($B2+3.75*K1,0)</f>
        <v>55</v>
      </c>
      <c r="L2" s="5">
        <v>58</v>
      </c>
      <c r="M2" s="5">
        <v>62</v>
      </c>
      <c r="N2">
        <v>66</v>
      </c>
      <c r="O2" s="5">
        <v>70</v>
      </c>
      <c r="P2" s="5">
        <v>73</v>
      </c>
      <c r="Q2" s="6">
        <f t="shared" ref="Q2:AE2" si="0">ROUNDDOWN($B2+3.75*Q1,0)</f>
        <v>77</v>
      </c>
      <c r="R2" s="6">
        <f t="shared" si="0"/>
        <v>81</v>
      </c>
      <c r="S2" s="6">
        <f t="shared" si="0"/>
        <v>85</v>
      </c>
      <c r="T2" s="6">
        <f t="shared" si="0"/>
        <v>88</v>
      </c>
      <c r="U2" s="6">
        <f t="shared" si="0"/>
        <v>92</v>
      </c>
      <c r="V2" s="6">
        <f t="shared" si="0"/>
        <v>96</v>
      </c>
      <c r="W2" s="6">
        <f t="shared" si="0"/>
        <v>100</v>
      </c>
      <c r="X2" s="6">
        <f t="shared" si="0"/>
        <v>103</v>
      </c>
      <c r="Y2" s="6">
        <f t="shared" si="0"/>
        <v>107</v>
      </c>
      <c r="Z2" s="6">
        <f t="shared" si="0"/>
        <v>111</v>
      </c>
      <c r="AA2" s="6">
        <f t="shared" si="0"/>
        <v>115</v>
      </c>
      <c r="AB2" s="6">
        <f t="shared" si="0"/>
        <v>118</v>
      </c>
      <c r="AC2" s="6">
        <f t="shared" si="0"/>
        <v>122</v>
      </c>
      <c r="AD2" s="6">
        <f t="shared" si="0"/>
        <v>126</v>
      </c>
      <c r="AE2" s="6">
        <f t="shared" si="0"/>
        <v>130</v>
      </c>
      <c r="AF2" s="5">
        <v>134</v>
      </c>
      <c r="AG2" s="13">
        <v>138</v>
      </c>
      <c r="AH2" s="5">
        <v>141</v>
      </c>
      <c r="AI2" s="5">
        <v>145</v>
      </c>
      <c r="AJ2" s="6">
        <f>ROUNDDOWN($B2+3.75*AJ1,0)</f>
        <v>148</v>
      </c>
      <c r="AK2" s="5">
        <v>152</v>
      </c>
      <c r="AL2" s="6">
        <f>ROUNDDOWN($B2+3.75*AL1,0)</f>
        <v>156</v>
      </c>
      <c r="AM2" s="6">
        <f>ROUNDDOWN($B2+3.75*AM1,0)</f>
        <v>160</v>
      </c>
      <c r="AN2" s="5">
        <v>163</v>
      </c>
      <c r="AO2" s="6">
        <f t="shared" ref="AO2:AU2" si="1">ROUNDDOWN($B2+3.75*AO1,0)</f>
        <v>167</v>
      </c>
      <c r="AP2" s="6">
        <f t="shared" si="1"/>
        <v>171</v>
      </c>
      <c r="AQ2" s="6">
        <f t="shared" si="1"/>
        <v>175</v>
      </c>
      <c r="AR2" s="6">
        <f t="shared" si="1"/>
        <v>178</v>
      </c>
      <c r="AS2" s="6">
        <f t="shared" si="1"/>
        <v>182</v>
      </c>
      <c r="AT2" s="6">
        <f t="shared" si="1"/>
        <v>186</v>
      </c>
      <c r="AU2" s="6">
        <f t="shared" si="1"/>
        <v>190</v>
      </c>
      <c r="AV2" s="5">
        <v>194</v>
      </c>
      <c r="AW2" s="5">
        <f t="shared" ref="AW2:BT2" si="2">ROUNDDOWN($B2+3.75*AW1,0)</f>
        <v>197</v>
      </c>
      <c r="AX2" s="6">
        <f t="shared" si="2"/>
        <v>201</v>
      </c>
      <c r="AY2" s="6">
        <f t="shared" si="2"/>
        <v>205</v>
      </c>
      <c r="AZ2" s="6">
        <f t="shared" si="2"/>
        <v>208</v>
      </c>
      <c r="BA2" s="6">
        <f t="shared" si="2"/>
        <v>212</v>
      </c>
      <c r="BB2" s="6">
        <f t="shared" si="2"/>
        <v>216</v>
      </c>
      <c r="BC2" s="6">
        <f t="shared" si="2"/>
        <v>220</v>
      </c>
      <c r="BD2" s="6">
        <f t="shared" si="2"/>
        <v>223</v>
      </c>
      <c r="BE2" s="6">
        <f t="shared" si="2"/>
        <v>227</v>
      </c>
      <c r="BF2" s="6">
        <f t="shared" si="2"/>
        <v>231</v>
      </c>
      <c r="BG2" s="6">
        <f t="shared" si="2"/>
        <v>235</v>
      </c>
      <c r="BH2" s="6">
        <f t="shared" si="2"/>
        <v>238</v>
      </c>
      <c r="BI2" s="6">
        <f t="shared" si="2"/>
        <v>242</v>
      </c>
      <c r="BJ2" s="6">
        <f t="shared" si="2"/>
        <v>246</v>
      </c>
      <c r="BK2" s="6">
        <f t="shared" si="2"/>
        <v>250</v>
      </c>
      <c r="BL2" s="6">
        <f t="shared" si="2"/>
        <v>253</v>
      </c>
      <c r="BM2" s="6">
        <f t="shared" si="2"/>
        <v>257</v>
      </c>
      <c r="BN2" s="6">
        <f t="shared" si="2"/>
        <v>261</v>
      </c>
      <c r="BO2" s="6">
        <f t="shared" si="2"/>
        <v>265</v>
      </c>
      <c r="BP2" s="6">
        <f t="shared" si="2"/>
        <v>268</v>
      </c>
      <c r="BQ2" s="6">
        <f t="shared" si="2"/>
        <v>272</v>
      </c>
      <c r="BR2" s="6">
        <f t="shared" si="2"/>
        <v>276</v>
      </c>
      <c r="BS2" s="6">
        <f t="shared" si="2"/>
        <v>280</v>
      </c>
      <c r="BT2" s="6">
        <f t="shared" si="2"/>
        <v>283</v>
      </c>
    </row>
    <row r="3" spans="1:72" x14ac:dyDescent="0.2">
      <c r="A3" t="s">
        <v>105</v>
      </c>
      <c r="C3" s="6"/>
      <c r="D3" s="6"/>
      <c r="E3" s="6"/>
      <c r="F3" s="6"/>
      <c r="I3" s="6"/>
      <c r="M3" s="6"/>
      <c r="P3" s="5">
        <v>84</v>
      </c>
      <c r="Q3">
        <v>88</v>
      </c>
      <c r="R3" s="6">
        <v>93</v>
      </c>
      <c r="S3" s="6">
        <v>97</v>
      </c>
      <c r="T3" s="5">
        <v>101</v>
      </c>
      <c r="U3" s="5">
        <v>106</v>
      </c>
      <c r="W3" s="6">
        <v>114</v>
      </c>
      <c r="AD3" s="6"/>
      <c r="AE3" s="6">
        <v>148</v>
      </c>
      <c r="AF3" s="6">
        <v>153</v>
      </c>
      <c r="AG3" s="6">
        <v>158</v>
      </c>
      <c r="AH3" s="5">
        <v>162</v>
      </c>
      <c r="AI3" s="6">
        <v>167</v>
      </c>
      <c r="AJ3" s="6">
        <v>171</v>
      </c>
      <c r="AK3">
        <v>175</v>
      </c>
      <c r="AL3">
        <v>179</v>
      </c>
      <c r="AM3" s="6">
        <v>184</v>
      </c>
      <c r="AN3" s="5">
        <v>188</v>
      </c>
      <c r="AO3" s="6">
        <v>192</v>
      </c>
      <c r="AP3" s="14">
        <v>196</v>
      </c>
      <c r="AQ3" s="6">
        <v>201</v>
      </c>
      <c r="AR3">
        <v>205</v>
      </c>
      <c r="AS3" s="6">
        <v>210</v>
      </c>
      <c r="AT3" s="6">
        <v>215</v>
      </c>
      <c r="AU3" s="6">
        <v>219</v>
      </c>
      <c r="AV3" s="6">
        <v>223</v>
      </c>
      <c r="BM3" t="s">
        <v>106</v>
      </c>
    </row>
    <row r="4" spans="1:72" x14ac:dyDescent="0.2">
      <c r="A4" t="s">
        <v>107</v>
      </c>
      <c r="BG4">
        <v>329</v>
      </c>
    </row>
    <row r="5" spans="1:72" x14ac:dyDescent="0.2">
      <c r="A5" t="s">
        <v>62</v>
      </c>
      <c r="AU5">
        <v>227</v>
      </c>
      <c r="AV5">
        <v>231</v>
      </c>
      <c r="AW5">
        <v>234</v>
      </c>
      <c r="BC5">
        <v>255</v>
      </c>
      <c r="BE5">
        <v>262</v>
      </c>
    </row>
    <row r="6" spans="1:72" x14ac:dyDescent="0.2">
      <c r="A6" t="s">
        <v>63</v>
      </c>
      <c r="AZ6">
        <v>252</v>
      </c>
      <c r="BC6">
        <v>262</v>
      </c>
      <c r="BR6">
        <v>1185</v>
      </c>
    </row>
    <row r="7" spans="1:72" x14ac:dyDescent="0.2">
      <c r="A7" t="s">
        <v>64</v>
      </c>
      <c r="AZ7">
        <v>262</v>
      </c>
      <c r="BA7">
        <v>266</v>
      </c>
      <c r="BB7">
        <v>270</v>
      </c>
      <c r="BC7">
        <v>273</v>
      </c>
      <c r="BE7">
        <v>281</v>
      </c>
    </row>
    <row r="8" spans="1:72" x14ac:dyDescent="0.2">
      <c r="A8" t="s">
        <v>108</v>
      </c>
      <c r="G8" s="5">
        <v>41</v>
      </c>
      <c r="Q8">
        <v>88</v>
      </c>
    </row>
    <row r="9" spans="1:72" x14ac:dyDescent="0.2">
      <c r="A9" t="s">
        <v>109</v>
      </c>
      <c r="Q9">
        <v>81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 alignWithMargins="0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97C54-711E-4633-8340-D913939FB8D2}">
  <dimension ref="A1:BT31"/>
  <sheetViews>
    <sheetView workbookViewId="0">
      <pane xSplit="1" topLeftCell="AC1" activePane="topRight" state="frozen"/>
      <selection pane="topRight" activeCell="AS1" sqref="AS1"/>
    </sheetView>
  </sheetViews>
  <sheetFormatPr defaultColWidth="11.5" defaultRowHeight="12.9" x14ac:dyDescent="0.2"/>
  <cols>
    <col min="1" max="1" width="19.25" customWidth="1"/>
    <col min="2" max="49" width="6.375" customWidth="1"/>
    <col min="50" max="50" width="7.25" customWidth="1"/>
    <col min="51" max="72" width="6.375" customWidth="1"/>
  </cols>
  <sheetData>
    <row r="1" spans="1:72" x14ac:dyDescent="0.2">
      <c r="B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</row>
    <row r="2" spans="1:72" x14ac:dyDescent="0.2">
      <c r="A2" t="s">
        <v>110</v>
      </c>
      <c r="E2" s="5">
        <v>25</v>
      </c>
      <c r="F2">
        <v>29</v>
      </c>
      <c r="G2">
        <v>31</v>
      </c>
      <c r="H2" s="5">
        <v>33</v>
      </c>
      <c r="I2">
        <v>35</v>
      </c>
      <c r="J2" s="5">
        <v>38</v>
      </c>
      <c r="K2">
        <v>41</v>
      </c>
      <c r="L2" s="5">
        <v>44</v>
      </c>
      <c r="M2" s="5">
        <v>46</v>
      </c>
      <c r="N2" s="5">
        <v>49</v>
      </c>
      <c r="O2" s="5">
        <v>52</v>
      </c>
      <c r="Q2" s="5">
        <v>57</v>
      </c>
      <c r="R2" s="6">
        <v>60</v>
      </c>
      <c r="V2">
        <v>73</v>
      </c>
      <c r="AU2">
        <v>139</v>
      </c>
      <c r="AZ2" t="s">
        <v>111</v>
      </c>
      <c r="BE2">
        <v>166</v>
      </c>
    </row>
    <row r="3" spans="1:72" x14ac:dyDescent="0.2">
      <c r="A3" t="s">
        <v>112</v>
      </c>
      <c r="B3">
        <v>22</v>
      </c>
      <c r="C3">
        <f t="shared" ref="C3:L3" si="0">ROUNDDOWN($B3+3.52*C1,0)</f>
        <v>25</v>
      </c>
      <c r="D3">
        <f t="shared" si="0"/>
        <v>29</v>
      </c>
      <c r="E3">
        <f t="shared" si="0"/>
        <v>32</v>
      </c>
      <c r="F3">
        <f t="shared" si="0"/>
        <v>36</v>
      </c>
      <c r="G3">
        <f t="shared" si="0"/>
        <v>39</v>
      </c>
      <c r="H3">
        <f t="shared" si="0"/>
        <v>43</v>
      </c>
      <c r="I3">
        <f t="shared" si="0"/>
        <v>46</v>
      </c>
      <c r="J3">
        <f t="shared" si="0"/>
        <v>50</v>
      </c>
      <c r="K3">
        <f t="shared" si="0"/>
        <v>53</v>
      </c>
      <c r="L3">
        <f t="shared" si="0"/>
        <v>57</v>
      </c>
      <c r="M3" s="5">
        <v>60</v>
      </c>
      <c r="N3" s="5">
        <v>64</v>
      </c>
      <c r="O3" s="5">
        <v>67</v>
      </c>
      <c r="P3">
        <f t="shared" ref="P3:AB3" si="1">ROUNDDOWN($B3+3.52*P1,0)</f>
        <v>71</v>
      </c>
      <c r="Q3">
        <f t="shared" si="1"/>
        <v>74</v>
      </c>
      <c r="R3">
        <f t="shared" si="1"/>
        <v>78</v>
      </c>
      <c r="S3">
        <f t="shared" si="1"/>
        <v>81</v>
      </c>
      <c r="T3">
        <f t="shared" si="1"/>
        <v>85</v>
      </c>
      <c r="U3">
        <f t="shared" si="1"/>
        <v>88</v>
      </c>
      <c r="V3">
        <f t="shared" si="1"/>
        <v>92</v>
      </c>
      <c r="W3">
        <f t="shared" si="1"/>
        <v>95</v>
      </c>
      <c r="X3">
        <f t="shared" si="1"/>
        <v>99</v>
      </c>
      <c r="Y3">
        <f t="shared" si="1"/>
        <v>102</v>
      </c>
      <c r="Z3" s="5">
        <f t="shared" si="1"/>
        <v>106</v>
      </c>
      <c r="AA3">
        <f t="shared" si="1"/>
        <v>110</v>
      </c>
      <c r="AB3">
        <f t="shared" si="1"/>
        <v>113</v>
      </c>
      <c r="AC3" s="5">
        <v>117</v>
      </c>
      <c r="AD3">
        <f>ROUNDDOWN($B3+3.52*AD1,0)</f>
        <v>120</v>
      </c>
      <c r="AE3" s="5">
        <v>124</v>
      </c>
      <c r="AF3" s="5">
        <v>127</v>
      </c>
      <c r="AG3">
        <f>ROUNDDOWN($B3+3.52*AG1,0)</f>
        <v>131</v>
      </c>
      <c r="AH3">
        <f>ROUNDDOWN($B3+3.52*AH1,0)</f>
        <v>134</v>
      </c>
      <c r="AI3">
        <f>ROUNDDOWN($B3+3.52*AI1,0)</f>
        <v>138</v>
      </c>
      <c r="AJ3">
        <f>ROUNDDOWN($B3+3.52*AJ1,0)</f>
        <v>141</v>
      </c>
      <c r="AK3">
        <f>ROUNDDOWN($B3+3.52*AK1,0)</f>
        <v>145</v>
      </c>
      <c r="AL3" s="5">
        <v>148</v>
      </c>
      <c r="AM3">
        <f>ROUNDDOWN($B3+3.52*AM1,0)</f>
        <v>152</v>
      </c>
      <c r="AN3" s="5">
        <v>155</v>
      </c>
      <c r="AO3">
        <f>ROUNDDOWN($B3+3.52*AO1,0)</f>
        <v>159</v>
      </c>
      <c r="AP3">
        <f>ROUNDDOWN($B3+3.52*AP1,0)</f>
        <v>162</v>
      </c>
      <c r="AQ3" s="5">
        <v>166</v>
      </c>
      <c r="AR3">
        <f>ROUNDDOWN($B3+3.52*AR1,0)</f>
        <v>169</v>
      </c>
      <c r="AS3">
        <f>ROUNDDOWN($B3+3.52*AS1,0)</f>
        <v>173</v>
      </c>
      <c r="AT3">
        <f>ROUNDDOWN($B3+3.52*AT1,0)</f>
        <v>176</v>
      </c>
      <c r="AU3" s="5">
        <v>180</v>
      </c>
      <c r="AV3">
        <f>ROUNDDOWN($B3+3.52*AV1,0)</f>
        <v>183</v>
      </c>
      <c r="AW3">
        <f>ROUNDDOWN($B3+3.52*AW1,0)</f>
        <v>187</v>
      </c>
      <c r="AX3" s="5">
        <v>190</v>
      </c>
      <c r="AY3" s="5">
        <v>194</v>
      </c>
      <c r="AZ3" s="5">
        <v>198</v>
      </c>
      <c r="BA3">
        <f>ROUNDDOWN($B3+3.52*BA1,0)</f>
        <v>201</v>
      </c>
      <c r="BB3">
        <f>ROUNDDOWN($B3+3.52*BB1,0)</f>
        <v>205</v>
      </c>
      <c r="BC3" s="5">
        <v>208</v>
      </c>
      <c r="BD3">
        <f t="shared" ref="BD3:BL3" si="2">ROUNDDOWN($B3+3.52*BD1,0)</f>
        <v>212</v>
      </c>
      <c r="BE3">
        <f t="shared" si="2"/>
        <v>215</v>
      </c>
      <c r="BF3">
        <f t="shared" si="2"/>
        <v>219</v>
      </c>
      <c r="BG3">
        <f t="shared" si="2"/>
        <v>222</v>
      </c>
      <c r="BH3">
        <f t="shared" si="2"/>
        <v>226</v>
      </c>
      <c r="BI3">
        <f t="shared" si="2"/>
        <v>229</v>
      </c>
      <c r="BJ3">
        <f t="shared" si="2"/>
        <v>233</v>
      </c>
      <c r="BK3">
        <f t="shared" si="2"/>
        <v>236</v>
      </c>
      <c r="BL3">
        <f t="shared" si="2"/>
        <v>240</v>
      </c>
      <c r="BM3" s="5">
        <v>243</v>
      </c>
      <c r="BN3">
        <v>244</v>
      </c>
      <c r="BO3">
        <v>245</v>
      </c>
      <c r="BP3">
        <v>246</v>
      </c>
      <c r="BQ3">
        <v>247</v>
      </c>
      <c r="BR3">
        <v>248</v>
      </c>
      <c r="BS3">
        <v>249</v>
      </c>
      <c r="BT3">
        <v>250</v>
      </c>
    </row>
    <row r="4" spans="1:72" x14ac:dyDescent="0.2">
      <c r="AK4">
        <v>144</v>
      </c>
      <c r="AL4">
        <v>148</v>
      </c>
      <c r="AM4">
        <v>151</v>
      </c>
      <c r="AN4">
        <v>155</v>
      </c>
      <c r="AO4">
        <v>159</v>
      </c>
      <c r="AP4">
        <v>162</v>
      </c>
      <c r="AQ4">
        <v>166</v>
      </c>
      <c r="AR4">
        <v>170</v>
      </c>
      <c r="AS4">
        <v>173</v>
      </c>
      <c r="AT4">
        <v>177</v>
      </c>
      <c r="AU4">
        <v>180</v>
      </c>
      <c r="AV4">
        <v>184</v>
      </c>
      <c r="AW4">
        <v>187</v>
      </c>
      <c r="AX4">
        <v>190</v>
      </c>
      <c r="AY4">
        <v>194</v>
      </c>
      <c r="AZ4">
        <v>198</v>
      </c>
      <c r="BA4">
        <v>201</v>
      </c>
      <c r="BB4">
        <v>205</v>
      </c>
      <c r="BC4">
        <v>208</v>
      </c>
      <c r="BD4">
        <v>212</v>
      </c>
      <c r="BE4">
        <v>215</v>
      </c>
      <c r="BF4">
        <v>218</v>
      </c>
      <c r="BG4">
        <v>222</v>
      </c>
      <c r="BH4">
        <v>226</v>
      </c>
      <c r="BI4">
        <v>229</v>
      </c>
      <c r="BJ4">
        <v>233</v>
      </c>
      <c r="BK4">
        <v>236</v>
      </c>
      <c r="BL4">
        <v>240</v>
      </c>
    </row>
    <row r="5" spans="1:72" x14ac:dyDescent="0.2">
      <c r="AX5" s="8">
        <v>3</v>
      </c>
      <c r="AY5">
        <v>4</v>
      </c>
      <c r="AZ5">
        <v>4</v>
      </c>
      <c r="BA5">
        <v>3</v>
      </c>
      <c r="BB5">
        <v>4</v>
      </c>
      <c r="BC5">
        <v>3</v>
      </c>
      <c r="BD5">
        <v>4</v>
      </c>
      <c r="BE5">
        <v>3</v>
      </c>
      <c r="BF5" s="8">
        <v>3</v>
      </c>
      <c r="BG5">
        <v>4</v>
      </c>
      <c r="BH5">
        <v>4</v>
      </c>
      <c r="BI5">
        <v>3</v>
      </c>
      <c r="BJ5">
        <v>4</v>
      </c>
      <c r="BK5">
        <v>3</v>
      </c>
      <c r="BL5">
        <v>4</v>
      </c>
      <c r="BM5" s="5">
        <v>3</v>
      </c>
    </row>
    <row r="6" spans="1:72" x14ac:dyDescent="0.2">
      <c r="A6" t="s">
        <v>113</v>
      </c>
      <c r="E6" s="5">
        <v>28</v>
      </c>
      <c r="F6" s="6">
        <v>31</v>
      </c>
      <c r="G6" s="6">
        <v>34</v>
      </c>
      <c r="H6" s="5">
        <v>37</v>
      </c>
      <c r="I6" s="6">
        <v>41</v>
      </c>
      <c r="J6" s="6">
        <v>44</v>
      </c>
      <c r="K6" s="6">
        <v>48</v>
      </c>
      <c r="L6" s="6">
        <v>52</v>
      </c>
      <c r="M6" s="6">
        <v>56</v>
      </c>
      <c r="N6" s="5">
        <v>59</v>
      </c>
      <c r="O6" s="5">
        <v>62</v>
      </c>
      <c r="P6" s="6">
        <v>66</v>
      </c>
      <c r="Q6" s="5">
        <v>69</v>
      </c>
      <c r="R6" s="6">
        <v>73</v>
      </c>
      <c r="S6" s="5">
        <v>76</v>
      </c>
      <c r="T6" s="6">
        <v>79</v>
      </c>
      <c r="AC6">
        <v>110</v>
      </c>
      <c r="AD6" s="6">
        <v>113</v>
      </c>
      <c r="AE6">
        <v>117</v>
      </c>
      <c r="AF6">
        <v>120</v>
      </c>
      <c r="AL6" s="6">
        <v>140</v>
      </c>
      <c r="AM6">
        <v>144</v>
      </c>
      <c r="AN6">
        <v>147</v>
      </c>
      <c r="AP6" s="15">
        <v>154</v>
      </c>
      <c r="AU6">
        <v>171</v>
      </c>
      <c r="AV6" s="6">
        <v>174</v>
      </c>
      <c r="AW6" s="6">
        <v>178</v>
      </c>
      <c r="AX6" s="6">
        <v>181</v>
      </c>
      <c r="AY6" s="6">
        <v>185</v>
      </c>
      <c r="AZ6" s="5">
        <v>189</v>
      </c>
      <c r="BA6" s="6">
        <v>192</v>
      </c>
      <c r="BB6" s="6">
        <v>196</v>
      </c>
      <c r="BC6" s="6">
        <v>199</v>
      </c>
      <c r="BD6" s="6">
        <v>202</v>
      </c>
      <c r="BE6" s="6">
        <v>205</v>
      </c>
      <c r="BF6">
        <v>209</v>
      </c>
    </row>
    <row r="7" spans="1:72" x14ac:dyDescent="0.2">
      <c r="B7">
        <v>17.100000000000001</v>
      </c>
      <c r="C7">
        <f>$B7+3.44*C1</f>
        <v>20.540000000000003</v>
      </c>
      <c r="D7">
        <f>$B7+3.44*D1</f>
        <v>23.98</v>
      </c>
      <c r="E7">
        <f>$B7+3.44*E1</f>
        <v>27.42</v>
      </c>
      <c r="F7">
        <f>$B7+3.44*F1</f>
        <v>30.86</v>
      </c>
      <c r="G7">
        <f>$B7+3.44*G1</f>
        <v>34.299999999999997</v>
      </c>
      <c r="H7" s="5">
        <v>37</v>
      </c>
      <c r="I7">
        <f t="shared" ref="I7:O7" si="3">$B7+3.44*I1</f>
        <v>41.18</v>
      </c>
      <c r="J7">
        <f t="shared" si="3"/>
        <v>44.620000000000005</v>
      </c>
      <c r="K7">
        <f t="shared" si="3"/>
        <v>48.06</v>
      </c>
      <c r="L7">
        <f t="shared" si="3"/>
        <v>51.5</v>
      </c>
      <c r="M7">
        <f t="shared" si="3"/>
        <v>54.94</v>
      </c>
      <c r="N7">
        <f t="shared" si="3"/>
        <v>58.38</v>
      </c>
      <c r="O7">
        <f t="shared" si="3"/>
        <v>61.82</v>
      </c>
      <c r="P7">
        <f t="shared" ref="P7:AB7" si="4">$B7+3.43*P1</f>
        <v>65.12</v>
      </c>
      <c r="Q7">
        <f t="shared" si="4"/>
        <v>68.550000000000011</v>
      </c>
      <c r="R7">
        <f t="shared" si="4"/>
        <v>71.98</v>
      </c>
      <c r="S7">
        <f t="shared" si="4"/>
        <v>75.41</v>
      </c>
      <c r="T7">
        <f t="shared" si="4"/>
        <v>78.84</v>
      </c>
      <c r="U7">
        <f t="shared" si="4"/>
        <v>82.27000000000001</v>
      </c>
      <c r="V7">
        <f t="shared" si="4"/>
        <v>85.700000000000017</v>
      </c>
      <c r="W7">
        <f t="shared" si="4"/>
        <v>89.13</v>
      </c>
      <c r="X7">
        <f t="shared" si="4"/>
        <v>92.56</v>
      </c>
      <c r="Y7">
        <f t="shared" si="4"/>
        <v>95.990000000000009</v>
      </c>
      <c r="Z7">
        <f t="shared" si="4"/>
        <v>99.420000000000016</v>
      </c>
      <c r="AA7">
        <f t="shared" si="4"/>
        <v>102.85</v>
      </c>
      <c r="AB7">
        <f t="shared" si="4"/>
        <v>106.28</v>
      </c>
      <c r="AC7">
        <f>$B7+3.44*AC1</f>
        <v>109.97999999999999</v>
      </c>
      <c r="AD7">
        <f>$B7+3.43*AD1</f>
        <v>113.14000000000001</v>
      </c>
      <c r="AE7">
        <f t="shared" ref="AE7:BF7" si="5">$B7+3.44*AE1</f>
        <v>116.86000000000001</v>
      </c>
      <c r="AF7">
        <f t="shared" si="5"/>
        <v>120.30000000000001</v>
      </c>
      <c r="AG7">
        <f t="shared" si="5"/>
        <v>123.74000000000001</v>
      </c>
      <c r="AH7">
        <f t="shared" si="5"/>
        <v>127.18</v>
      </c>
      <c r="AI7">
        <f t="shared" si="5"/>
        <v>130.62</v>
      </c>
      <c r="AJ7">
        <f t="shared" si="5"/>
        <v>134.06</v>
      </c>
      <c r="AK7">
        <f t="shared" si="5"/>
        <v>137.5</v>
      </c>
      <c r="AL7">
        <f t="shared" si="5"/>
        <v>140.94</v>
      </c>
      <c r="AM7">
        <f t="shared" si="5"/>
        <v>144.38</v>
      </c>
      <c r="AN7">
        <f t="shared" si="5"/>
        <v>147.82</v>
      </c>
      <c r="AO7">
        <f t="shared" si="5"/>
        <v>151.26</v>
      </c>
      <c r="AP7">
        <f t="shared" si="5"/>
        <v>154.69999999999999</v>
      </c>
      <c r="AQ7">
        <f t="shared" si="5"/>
        <v>158.13999999999999</v>
      </c>
      <c r="AR7">
        <f t="shared" si="5"/>
        <v>161.57999999999998</v>
      </c>
      <c r="AS7">
        <f t="shared" si="5"/>
        <v>165.01999999999998</v>
      </c>
      <c r="AT7">
        <f t="shared" si="5"/>
        <v>168.45999999999998</v>
      </c>
      <c r="AU7">
        <f t="shared" si="5"/>
        <v>171.9</v>
      </c>
      <c r="AV7">
        <f t="shared" si="5"/>
        <v>175.34</v>
      </c>
      <c r="AW7">
        <f t="shared" si="5"/>
        <v>178.78</v>
      </c>
      <c r="AX7">
        <f t="shared" si="5"/>
        <v>182.22</v>
      </c>
      <c r="AY7">
        <f t="shared" si="5"/>
        <v>185.66</v>
      </c>
      <c r="AZ7">
        <f t="shared" si="5"/>
        <v>189.1</v>
      </c>
      <c r="BA7">
        <f t="shared" si="5"/>
        <v>192.54</v>
      </c>
      <c r="BB7">
        <f t="shared" si="5"/>
        <v>195.98</v>
      </c>
      <c r="BC7">
        <f t="shared" si="5"/>
        <v>199.42</v>
      </c>
      <c r="BD7">
        <f t="shared" si="5"/>
        <v>202.85999999999999</v>
      </c>
      <c r="BE7">
        <f t="shared" si="5"/>
        <v>206.29999999999998</v>
      </c>
      <c r="BF7">
        <f t="shared" si="5"/>
        <v>209.73999999999998</v>
      </c>
    </row>
    <row r="8" spans="1:72" x14ac:dyDescent="0.2">
      <c r="E8">
        <v>28</v>
      </c>
      <c r="F8">
        <f>$E8+3.44*C1</f>
        <v>31.44</v>
      </c>
      <c r="G8">
        <f>$E8+3.45*D1</f>
        <v>34.9</v>
      </c>
      <c r="H8">
        <f>$E8+3.45*E1</f>
        <v>38.35</v>
      </c>
      <c r="I8">
        <f t="shared" ref="I8:S8" si="6">$E8+3.3*F1</f>
        <v>41.2</v>
      </c>
      <c r="J8">
        <f t="shared" si="6"/>
        <v>44.5</v>
      </c>
      <c r="K8">
        <f t="shared" si="6"/>
        <v>47.8</v>
      </c>
      <c r="L8">
        <f t="shared" si="6"/>
        <v>51.099999999999994</v>
      </c>
      <c r="M8">
        <f t="shared" si="6"/>
        <v>54.4</v>
      </c>
      <c r="N8">
        <f t="shared" si="6"/>
        <v>57.7</v>
      </c>
      <c r="O8">
        <f t="shared" si="6"/>
        <v>61</v>
      </c>
      <c r="P8">
        <f t="shared" si="6"/>
        <v>64.3</v>
      </c>
      <c r="Q8">
        <f t="shared" si="6"/>
        <v>67.599999999999994</v>
      </c>
      <c r="R8">
        <f t="shared" si="6"/>
        <v>70.900000000000006</v>
      </c>
      <c r="S8">
        <f t="shared" si="6"/>
        <v>74.199999999999989</v>
      </c>
    </row>
    <row r="9" spans="1:72" x14ac:dyDescent="0.2">
      <c r="A9" t="s">
        <v>114</v>
      </c>
      <c r="K9" t="s">
        <v>115</v>
      </c>
      <c r="O9" s="5">
        <v>76</v>
      </c>
      <c r="Q9" s="5">
        <v>83</v>
      </c>
      <c r="W9" s="6">
        <v>106</v>
      </c>
      <c r="Y9" s="5">
        <v>113</v>
      </c>
      <c r="AD9">
        <v>131</v>
      </c>
      <c r="AE9">
        <v>135</v>
      </c>
      <c r="AF9">
        <v>139</v>
      </c>
      <c r="AG9" s="6">
        <v>143</v>
      </c>
      <c r="AH9" s="6">
        <v>147</v>
      </c>
      <c r="AI9" s="6">
        <v>151</v>
      </c>
      <c r="AJ9">
        <v>154</v>
      </c>
      <c r="AK9" s="6">
        <v>158</v>
      </c>
      <c r="AL9" s="6">
        <v>161</v>
      </c>
      <c r="AM9" s="6">
        <v>165</v>
      </c>
      <c r="AN9">
        <v>169</v>
      </c>
      <c r="AO9" s="6">
        <v>173</v>
      </c>
      <c r="AP9" s="6">
        <v>177</v>
      </c>
      <c r="AQ9">
        <v>181</v>
      </c>
      <c r="AR9" t="s">
        <v>116</v>
      </c>
      <c r="AS9" s="6">
        <v>188</v>
      </c>
      <c r="AT9" s="6">
        <v>192</v>
      </c>
      <c r="AU9">
        <v>196</v>
      </c>
      <c r="AV9" s="6">
        <v>200</v>
      </c>
      <c r="AW9" s="6">
        <v>204</v>
      </c>
      <c r="AX9">
        <v>208</v>
      </c>
      <c r="AY9">
        <v>212</v>
      </c>
      <c r="AZ9">
        <v>216</v>
      </c>
      <c r="BA9" s="6">
        <v>220</v>
      </c>
      <c r="BB9">
        <v>223</v>
      </c>
      <c r="BC9" s="6">
        <v>227</v>
      </c>
      <c r="BD9" s="6">
        <v>231</v>
      </c>
      <c r="BE9" s="6">
        <v>235</v>
      </c>
      <c r="BF9">
        <v>239</v>
      </c>
      <c r="BG9">
        <v>242</v>
      </c>
    </row>
    <row r="10" spans="1:72" x14ac:dyDescent="0.2">
      <c r="BC10" s="6"/>
      <c r="BD10" s="6"/>
      <c r="BE10" s="6"/>
    </row>
    <row r="11" spans="1:72" x14ac:dyDescent="0.2">
      <c r="A11" t="s">
        <v>117</v>
      </c>
      <c r="AX11">
        <v>228</v>
      </c>
      <c r="AY11" s="5">
        <v>232</v>
      </c>
      <c r="AZ11" t="s">
        <v>118</v>
      </c>
      <c r="BM11">
        <v>282</v>
      </c>
    </row>
    <row r="12" spans="1:72" x14ac:dyDescent="0.2">
      <c r="A12" t="s">
        <v>119</v>
      </c>
      <c r="BE12">
        <v>318</v>
      </c>
    </row>
    <row r="13" spans="1:72" x14ac:dyDescent="0.2">
      <c r="A13" t="s">
        <v>120</v>
      </c>
      <c r="BE13">
        <v>318</v>
      </c>
    </row>
    <row r="14" spans="1:72" x14ac:dyDescent="0.2">
      <c r="A14" t="s">
        <v>121</v>
      </c>
      <c r="B14">
        <v>350</v>
      </c>
      <c r="C14">
        <f t="shared" ref="C14:AH14" si="7">$B14+14*C1</f>
        <v>364</v>
      </c>
      <c r="D14">
        <f t="shared" si="7"/>
        <v>378</v>
      </c>
      <c r="E14">
        <f t="shared" si="7"/>
        <v>392</v>
      </c>
      <c r="F14">
        <f t="shared" si="7"/>
        <v>406</v>
      </c>
      <c r="G14">
        <f t="shared" si="7"/>
        <v>420</v>
      </c>
      <c r="H14">
        <f t="shared" si="7"/>
        <v>434</v>
      </c>
      <c r="I14">
        <f t="shared" si="7"/>
        <v>448</v>
      </c>
      <c r="J14">
        <f t="shared" si="7"/>
        <v>462</v>
      </c>
      <c r="K14">
        <f t="shared" si="7"/>
        <v>476</v>
      </c>
      <c r="L14">
        <f t="shared" si="7"/>
        <v>490</v>
      </c>
      <c r="M14">
        <f t="shared" si="7"/>
        <v>504</v>
      </c>
      <c r="N14">
        <f t="shared" si="7"/>
        <v>518</v>
      </c>
      <c r="O14">
        <f t="shared" si="7"/>
        <v>532</v>
      </c>
      <c r="P14">
        <f t="shared" si="7"/>
        <v>546</v>
      </c>
      <c r="Q14">
        <f t="shared" si="7"/>
        <v>560</v>
      </c>
      <c r="R14">
        <f t="shared" si="7"/>
        <v>574</v>
      </c>
      <c r="S14">
        <f t="shared" si="7"/>
        <v>588</v>
      </c>
      <c r="T14">
        <f t="shared" si="7"/>
        <v>602</v>
      </c>
      <c r="U14">
        <f t="shared" si="7"/>
        <v>616</v>
      </c>
      <c r="V14">
        <f t="shared" si="7"/>
        <v>630</v>
      </c>
      <c r="W14">
        <f t="shared" si="7"/>
        <v>644</v>
      </c>
      <c r="X14">
        <f t="shared" si="7"/>
        <v>658</v>
      </c>
      <c r="Y14">
        <f t="shared" si="7"/>
        <v>672</v>
      </c>
      <c r="Z14">
        <f t="shared" si="7"/>
        <v>686</v>
      </c>
      <c r="AA14">
        <f t="shared" si="7"/>
        <v>700</v>
      </c>
      <c r="AB14">
        <f t="shared" si="7"/>
        <v>714</v>
      </c>
      <c r="AC14">
        <f t="shared" si="7"/>
        <v>728</v>
      </c>
      <c r="AD14">
        <f t="shared" si="7"/>
        <v>742</v>
      </c>
      <c r="AE14">
        <f t="shared" si="7"/>
        <v>756</v>
      </c>
      <c r="AF14">
        <f t="shared" si="7"/>
        <v>770</v>
      </c>
      <c r="AG14">
        <f t="shared" si="7"/>
        <v>784</v>
      </c>
      <c r="AH14">
        <f t="shared" si="7"/>
        <v>798</v>
      </c>
      <c r="AI14">
        <f t="shared" ref="AI14:BB14" si="8">$B14+14*AI1</f>
        <v>812</v>
      </c>
      <c r="AJ14">
        <f t="shared" si="8"/>
        <v>826</v>
      </c>
      <c r="AK14">
        <f t="shared" si="8"/>
        <v>840</v>
      </c>
      <c r="AL14">
        <f t="shared" si="8"/>
        <v>854</v>
      </c>
      <c r="AM14">
        <f t="shared" si="8"/>
        <v>868</v>
      </c>
      <c r="AN14">
        <f t="shared" si="8"/>
        <v>882</v>
      </c>
      <c r="AO14">
        <f t="shared" si="8"/>
        <v>896</v>
      </c>
      <c r="AP14">
        <f t="shared" si="8"/>
        <v>910</v>
      </c>
      <c r="AQ14">
        <f t="shared" si="8"/>
        <v>924</v>
      </c>
      <c r="AR14">
        <f t="shared" si="8"/>
        <v>938</v>
      </c>
      <c r="AS14">
        <f t="shared" si="8"/>
        <v>952</v>
      </c>
      <c r="AT14">
        <f t="shared" si="8"/>
        <v>966</v>
      </c>
      <c r="AU14">
        <f t="shared" si="8"/>
        <v>980</v>
      </c>
      <c r="AV14">
        <f t="shared" si="8"/>
        <v>994</v>
      </c>
      <c r="AW14">
        <f t="shared" si="8"/>
        <v>1008</v>
      </c>
      <c r="AX14">
        <f t="shared" si="8"/>
        <v>1022</v>
      </c>
      <c r="AY14">
        <f t="shared" si="8"/>
        <v>1036</v>
      </c>
      <c r="AZ14">
        <f t="shared" si="8"/>
        <v>1050</v>
      </c>
      <c r="BA14">
        <f t="shared" si="8"/>
        <v>1064</v>
      </c>
      <c r="BB14">
        <f t="shared" si="8"/>
        <v>1078</v>
      </c>
      <c r="BC14" s="5">
        <v>1092</v>
      </c>
      <c r="BD14">
        <f>$B14+14*BD1</f>
        <v>1106</v>
      </c>
      <c r="BE14">
        <f>$B14+14*BE1</f>
        <v>1120</v>
      </c>
      <c r="BF14">
        <f>$B14+14*BF1</f>
        <v>1134</v>
      </c>
      <c r="BG14" s="5">
        <v>1148</v>
      </c>
      <c r="BH14">
        <f>$B14+14*BH1</f>
        <v>1162</v>
      </c>
      <c r="BI14">
        <f>$B14+14*BI1</f>
        <v>1176</v>
      </c>
      <c r="BJ14">
        <f>$B14+14*BJ1</f>
        <v>1190</v>
      </c>
      <c r="BK14">
        <f>$B14+14*BK1</f>
        <v>1204</v>
      </c>
      <c r="BL14">
        <f>$B14+14*BL1</f>
        <v>1218</v>
      </c>
      <c r="BM14" s="5">
        <v>1232</v>
      </c>
      <c r="BN14">
        <f t="shared" ref="BN14:BT14" si="9">$B14+14*BN1</f>
        <v>1246</v>
      </c>
      <c r="BO14">
        <f t="shared" si="9"/>
        <v>1260</v>
      </c>
      <c r="BP14">
        <f t="shared" si="9"/>
        <v>1274</v>
      </c>
      <c r="BQ14">
        <f t="shared" si="9"/>
        <v>1288</v>
      </c>
      <c r="BR14">
        <f t="shared" si="9"/>
        <v>1302</v>
      </c>
      <c r="BS14">
        <f t="shared" si="9"/>
        <v>1316</v>
      </c>
      <c r="BT14">
        <f t="shared" si="9"/>
        <v>1330</v>
      </c>
    </row>
    <row r="15" spans="1:72" x14ac:dyDescent="0.2">
      <c r="A15" t="s">
        <v>122</v>
      </c>
      <c r="B15">
        <v>500</v>
      </c>
      <c r="C15">
        <f t="shared" ref="C15:AH15" si="10">$B15+20*C1</f>
        <v>520</v>
      </c>
      <c r="D15">
        <f t="shared" si="10"/>
        <v>540</v>
      </c>
      <c r="E15">
        <f t="shared" si="10"/>
        <v>560</v>
      </c>
      <c r="F15">
        <f t="shared" si="10"/>
        <v>580</v>
      </c>
      <c r="G15">
        <f t="shared" si="10"/>
        <v>600</v>
      </c>
      <c r="H15">
        <f t="shared" si="10"/>
        <v>620</v>
      </c>
      <c r="I15">
        <f t="shared" si="10"/>
        <v>640</v>
      </c>
      <c r="J15">
        <f t="shared" si="10"/>
        <v>660</v>
      </c>
      <c r="K15">
        <f t="shared" si="10"/>
        <v>680</v>
      </c>
      <c r="L15">
        <f t="shared" si="10"/>
        <v>700</v>
      </c>
      <c r="M15">
        <f t="shared" si="10"/>
        <v>720</v>
      </c>
      <c r="N15">
        <f t="shared" si="10"/>
        <v>740</v>
      </c>
      <c r="O15">
        <f t="shared" si="10"/>
        <v>760</v>
      </c>
      <c r="P15">
        <f t="shared" si="10"/>
        <v>780</v>
      </c>
      <c r="Q15">
        <f t="shared" si="10"/>
        <v>800</v>
      </c>
      <c r="R15">
        <f t="shared" si="10"/>
        <v>820</v>
      </c>
      <c r="S15">
        <f t="shared" si="10"/>
        <v>840</v>
      </c>
      <c r="T15">
        <f t="shared" si="10"/>
        <v>860</v>
      </c>
      <c r="U15">
        <f t="shared" si="10"/>
        <v>880</v>
      </c>
      <c r="V15">
        <f t="shared" si="10"/>
        <v>900</v>
      </c>
      <c r="W15">
        <f t="shared" si="10"/>
        <v>920</v>
      </c>
      <c r="X15">
        <f t="shared" si="10"/>
        <v>940</v>
      </c>
      <c r="Y15">
        <f t="shared" si="10"/>
        <v>960</v>
      </c>
      <c r="Z15">
        <f t="shared" si="10"/>
        <v>980</v>
      </c>
      <c r="AA15">
        <f t="shared" si="10"/>
        <v>1000</v>
      </c>
      <c r="AB15">
        <f t="shared" si="10"/>
        <v>1020</v>
      </c>
      <c r="AC15">
        <f t="shared" si="10"/>
        <v>1040</v>
      </c>
      <c r="AD15">
        <f t="shared" si="10"/>
        <v>1060</v>
      </c>
      <c r="AE15">
        <f t="shared" si="10"/>
        <v>1080</v>
      </c>
      <c r="AF15">
        <f t="shared" si="10"/>
        <v>1100</v>
      </c>
      <c r="AG15">
        <f t="shared" si="10"/>
        <v>1120</v>
      </c>
      <c r="AH15">
        <f t="shared" si="10"/>
        <v>1140</v>
      </c>
      <c r="AI15">
        <f t="shared" ref="AI15:BG15" si="11">$B15+20*AI1</f>
        <v>1160</v>
      </c>
      <c r="AJ15">
        <f t="shared" si="11"/>
        <v>1180</v>
      </c>
      <c r="AK15">
        <f t="shared" si="11"/>
        <v>1200</v>
      </c>
      <c r="AL15">
        <f t="shared" si="11"/>
        <v>1220</v>
      </c>
      <c r="AM15">
        <f t="shared" si="11"/>
        <v>1240</v>
      </c>
      <c r="AN15">
        <f t="shared" si="11"/>
        <v>1260</v>
      </c>
      <c r="AO15">
        <f t="shared" si="11"/>
        <v>1280</v>
      </c>
      <c r="AP15">
        <f t="shared" si="11"/>
        <v>1300</v>
      </c>
      <c r="AQ15">
        <f t="shared" si="11"/>
        <v>1320</v>
      </c>
      <c r="AR15">
        <f t="shared" si="11"/>
        <v>1340</v>
      </c>
      <c r="AS15">
        <f t="shared" si="11"/>
        <v>1360</v>
      </c>
      <c r="AT15">
        <f t="shared" si="11"/>
        <v>1380</v>
      </c>
      <c r="AU15">
        <f t="shared" si="11"/>
        <v>1400</v>
      </c>
      <c r="AV15">
        <f t="shared" si="11"/>
        <v>1420</v>
      </c>
      <c r="AW15">
        <f t="shared" si="11"/>
        <v>1440</v>
      </c>
      <c r="AX15">
        <f t="shared" si="11"/>
        <v>1460</v>
      </c>
      <c r="AY15">
        <f t="shared" si="11"/>
        <v>1480</v>
      </c>
      <c r="AZ15">
        <f t="shared" si="11"/>
        <v>1500</v>
      </c>
      <c r="BA15">
        <f t="shared" si="11"/>
        <v>1520</v>
      </c>
      <c r="BB15">
        <f t="shared" si="11"/>
        <v>1540</v>
      </c>
      <c r="BC15">
        <f t="shared" si="11"/>
        <v>1560</v>
      </c>
      <c r="BD15">
        <f t="shared" si="11"/>
        <v>1580</v>
      </c>
      <c r="BE15">
        <f t="shared" si="11"/>
        <v>1600</v>
      </c>
      <c r="BF15">
        <f t="shared" si="11"/>
        <v>1620</v>
      </c>
      <c r="BG15">
        <f t="shared" si="11"/>
        <v>1640</v>
      </c>
      <c r="BH15" s="5">
        <v>1660</v>
      </c>
      <c r="BI15">
        <f t="shared" ref="BI15:BT15" si="12">$B15+20*BI1</f>
        <v>1680</v>
      </c>
      <c r="BJ15">
        <f t="shared" si="12"/>
        <v>1700</v>
      </c>
      <c r="BK15">
        <f t="shared" si="12"/>
        <v>1720</v>
      </c>
      <c r="BL15">
        <f t="shared" si="12"/>
        <v>1740</v>
      </c>
      <c r="BM15">
        <f t="shared" si="12"/>
        <v>1760</v>
      </c>
      <c r="BN15">
        <f t="shared" si="12"/>
        <v>1780</v>
      </c>
      <c r="BO15">
        <f t="shared" si="12"/>
        <v>1800</v>
      </c>
      <c r="BP15">
        <f t="shared" si="12"/>
        <v>1820</v>
      </c>
      <c r="BQ15">
        <f t="shared" si="12"/>
        <v>1840</v>
      </c>
      <c r="BR15">
        <f t="shared" si="12"/>
        <v>1860</v>
      </c>
      <c r="BS15">
        <f t="shared" si="12"/>
        <v>1880</v>
      </c>
      <c r="BT15">
        <f t="shared" si="12"/>
        <v>1900</v>
      </c>
    </row>
    <row r="16" spans="1:72" x14ac:dyDescent="0.2">
      <c r="B16">
        <v>340</v>
      </c>
      <c r="C16">
        <f t="shared" ref="C16:AH16" si="13">$B16 + 44*C1</f>
        <v>384</v>
      </c>
      <c r="D16">
        <f t="shared" si="13"/>
        <v>428</v>
      </c>
      <c r="E16">
        <f t="shared" si="13"/>
        <v>472</v>
      </c>
      <c r="F16">
        <f t="shared" si="13"/>
        <v>516</v>
      </c>
      <c r="G16">
        <f t="shared" si="13"/>
        <v>560</v>
      </c>
      <c r="H16">
        <f t="shared" si="13"/>
        <v>604</v>
      </c>
      <c r="I16">
        <f t="shared" si="13"/>
        <v>648</v>
      </c>
      <c r="J16">
        <f t="shared" si="13"/>
        <v>692</v>
      </c>
      <c r="K16">
        <f t="shared" si="13"/>
        <v>736</v>
      </c>
      <c r="L16">
        <f t="shared" si="13"/>
        <v>780</v>
      </c>
      <c r="M16">
        <f t="shared" si="13"/>
        <v>824</v>
      </c>
      <c r="N16">
        <f t="shared" si="13"/>
        <v>868</v>
      </c>
      <c r="O16">
        <f t="shared" si="13"/>
        <v>912</v>
      </c>
      <c r="P16">
        <f t="shared" si="13"/>
        <v>956</v>
      </c>
      <c r="Q16">
        <f t="shared" si="13"/>
        <v>1000</v>
      </c>
      <c r="R16">
        <f t="shared" si="13"/>
        <v>1044</v>
      </c>
      <c r="S16">
        <f t="shared" si="13"/>
        <v>1088</v>
      </c>
      <c r="T16">
        <f t="shared" si="13"/>
        <v>1132</v>
      </c>
      <c r="U16">
        <f t="shared" si="13"/>
        <v>1176</v>
      </c>
      <c r="V16">
        <f t="shared" si="13"/>
        <v>1220</v>
      </c>
      <c r="W16">
        <f t="shared" si="13"/>
        <v>1264</v>
      </c>
      <c r="X16">
        <f t="shared" si="13"/>
        <v>1308</v>
      </c>
      <c r="Y16">
        <f t="shared" si="13"/>
        <v>1352</v>
      </c>
      <c r="Z16">
        <f t="shared" si="13"/>
        <v>1396</v>
      </c>
      <c r="AA16">
        <f t="shared" si="13"/>
        <v>1440</v>
      </c>
      <c r="AB16">
        <f t="shared" si="13"/>
        <v>1484</v>
      </c>
      <c r="AC16">
        <f t="shared" si="13"/>
        <v>1528</v>
      </c>
      <c r="AD16">
        <f t="shared" si="13"/>
        <v>1572</v>
      </c>
      <c r="AE16">
        <f t="shared" si="13"/>
        <v>1616</v>
      </c>
      <c r="AF16">
        <f t="shared" si="13"/>
        <v>1660</v>
      </c>
      <c r="AG16">
        <f t="shared" si="13"/>
        <v>1704</v>
      </c>
      <c r="AH16">
        <f t="shared" si="13"/>
        <v>1748</v>
      </c>
      <c r="AI16">
        <f t="shared" ref="AI16:BA16" si="14">$B16 + 44*AI1</f>
        <v>1792</v>
      </c>
      <c r="AJ16">
        <f t="shared" si="14"/>
        <v>1836</v>
      </c>
      <c r="AK16">
        <f t="shared" si="14"/>
        <v>1880</v>
      </c>
      <c r="AL16">
        <f t="shared" si="14"/>
        <v>1924</v>
      </c>
      <c r="AM16">
        <f t="shared" si="14"/>
        <v>1968</v>
      </c>
      <c r="AN16">
        <f t="shared" si="14"/>
        <v>2012</v>
      </c>
      <c r="AO16">
        <f t="shared" si="14"/>
        <v>2056</v>
      </c>
      <c r="AP16">
        <f t="shared" si="14"/>
        <v>2100</v>
      </c>
      <c r="AQ16">
        <f t="shared" si="14"/>
        <v>2144</v>
      </c>
      <c r="AR16">
        <f t="shared" si="14"/>
        <v>2188</v>
      </c>
      <c r="AS16">
        <f t="shared" si="14"/>
        <v>2232</v>
      </c>
      <c r="AT16">
        <f t="shared" si="14"/>
        <v>2276</v>
      </c>
      <c r="AU16">
        <f t="shared" si="14"/>
        <v>2320</v>
      </c>
      <c r="AV16">
        <f t="shared" si="14"/>
        <v>2364</v>
      </c>
      <c r="AW16">
        <f t="shared" si="14"/>
        <v>2408</v>
      </c>
      <c r="AX16">
        <f t="shared" si="14"/>
        <v>2452</v>
      </c>
      <c r="AY16">
        <f t="shared" si="14"/>
        <v>2496</v>
      </c>
      <c r="AZ16">
        <f t="shared" si="14"/>
        <v>2540</v>
      </c>
      <c r="BA16">
        <f t="shared" si="14"/>
        <v>2584</v>
      </c>
      <c r="BB16">
        <f t="shared" ref="BB16:BT16" si="15">$B16+44*BB1</f>
        <v>2628</v>
      </c>
      <c r="BC16">
        <f t="shared" si="15"/>
        <v>2672</v>
      </c>
      <c r="BD16">
        <f t="shared" si="15"/>
        <v>2716</v>
      </c>
      <c r="BE16">
        <f t="shared" si="15"/>
        <v>2760</v>
      </c>
      <c r="BF16">
        <f t="shared" si="15"/>
        <v>2804</v>
      </c>
      <c r="BG16">
        <f t="shared" si="15"/>
        <v>2848</v>
      </c>
      <c r="BH16">
        <f t="shared" si="15"/>
        <v>2892</v>
      </c>
      <c r="BI16">
        <f t="shared" si="15"/>
        <v>2936</v>
      </c>
      <c r="BJ16">
        <f t="shared" si="15"/>
        <v>2980</v>
      </c>
      <c r="BK16">
        <f t="shared" si="15"/>
        <v>3024</v>
      </c>
      <c r="BL16">
        <f t="shared" si="15"/>
        <v>3068</v>
      </c>
      <c r="BM16">
        <f t="shared" si="15"/>
        <v>3112</v>
      </c>
      <c r="BN16">
        <f t="shared" si="15"/>
        <v>3156</v>
      </c>
      <c r="BO16">
        <f t="shared" si="15"/>
        <v>3200</v>
      </c>
      <c r="BP16">
        <f t="shared" si="15"/>
        <v>3244</v>
      </c>
      <c r="BQ16">
        <f t="shared" si="15"/>
        <v>3288</v>
      </c>
      <c r="BR16">
        <f t="shared" si="15"/>
        <v>3332</v>
      </c>
      <c r="BS16">
        <f t="shared" si="15"/>
        <v>3376</v>
      </c>
      <c r="BT16">
        <f t="shared" si="15"/>
        <v>3420</v>
      </c>
    </row>
    <row r="17" spans="1:72" x14ac:dyDescent="0.2">
      <c r="A17" t="s">
        <v>11</v>
      </c>
      <c r="O17" s="5">
        <v>868</v>
      </c>
      <c r="Y17" s="5">
        <v>1336</v>
      </c>
      <c r="AA17" s="5">
        <v>1430</v>
      </c>
      <c r="AF17">
        <v>1664</v>
      </c>
      <c r="AH17">
        <v>1757</v>
      </c>
      <c r="AQ17">
        <v>2178</v>
      </c>
      <c r="AW17" t="s">
        <v>123</v>
      </c>
      <c r="AX17">
        <v>2506</v>
      </c>
      <c r="BE17">
        <v>1591</v>
      </c>
      <c r="BG17" t="s">
        <v>12</v>
      </c>
    </row>
    <row r="18" spans="1:72" x14ac:dyDescent="0.2">
      <c r="B18">
        <v>255</v>
      </c>
      <c r="C18">
        <f t="shared" ref="C18:AH18" si="16">$B18+47*C1</f>
        <v>302</v>
      </c>
      <c r="D18">
        <f t="shared" si="16"/>
        <v>349</v>
      </c>
      <c r="E18">
        <f t="shared" si="16"/>
        <v>396</v>
      </c>
      <c r="F18">
        <f t="shared" si="16"/>
        <v>443</v>
      </c>
      <c r="G18">
        <f t="shared" si="16"/>
        <v>490</v>
      </c>
      <c r="H18">
        <f t="shared" si="16"/>
        <v>537</v>
      </c>
      <c r="I18">
        <f t="shared" si="16"/>
        <v>584</v>
      </c>
      <c r="J18">
        <f t="shared" si="16"/>
        <v>631</v>
      </c>
      <c r="K18">
        <f t="shared" si="16"/>
        <v>678</v>
      </c>
      <c r="L18">
        <f t="shared" si="16"/>
        <v>725</v>
      </c>
      <c r="M18">
        <f t="shared" si="16"/>
        <v>772</v>
      </c>
      <c r="N18">
        <f t="shared" si="16"/>
        <v>819</v>
      </c>
      <c r="O18">
        <f t="shared" si="16"/>
        <v>866</v>
      </c>
      <c r="P18">
        <f t="shared" si="16"/>
        <v>913</v>
      </c>
      <c r="Q18">
        <f t="shared" si="16"/>
        <v>960</v>
      </c>
      <c r="R18">
        <f t="shared" si="16"/>
        <v>1007</v>
      </c>
      <c r="S18">
        <f t="shared" si="16"/>
        <v>1054</v>
      </c>
      <c r="T18">
        <f t="shared" si="16"/>
        <v>1101</v>
      </c>
      <c r="U18">
        <f t="shared" si="16"/>
        <v>1148</v>
      </c>
      <c r="V18">
        <f t="shared" si="16"/>
        <v>1195</v>
      </c>
      <c r="W18">
        <f t="shared" si="16"/>
        <v>1242</v>
      </c>
      <c r="X18">
        <f t="shared" si="16"/>
        <v>1289</v>
      </c>
      <c r="Y18">
        <f t="shared" si="16"/>
        <v>1336</v>
      </c>
      <c r="Z18">
        <f t="shared" si="16"/>
        <v>1383</v>
      </c>
      <c r="AA18">
        <f t="shared" si="16"/>
        <v>1430</v>
      </c>
      <c r="AB18">
        <f t="shared" si="16"/>
        <v>1477</v>
      </c>
      <c r="AC18">
        <f t="shared" si="16"/>
        <v>1524</v>
      </c>
      <c r="AD18">
        <f t="shared" si="16"/>
        <v>1571</v>
      </c>
      <c r="AE18">
        <f t="shared" si="16"/>
        <v>1618</v>
      </c>
      <c r="AF18">
        <f t="shared" si="16"/>
        <v>1665</v>
      </c>
      <c r="AG18">
        <f t="shared" si="16"/>
        <v>1712</v>
      </c>
      <c r="AH18">
        <f t="shared" si="16"/>
        <v>1759</v>
      </c>
      <c r="AI18">
        <f t="shared" ref="AI18:AQ18" si="17">$B18+46.96*AI1</f>
        <v>1804.68</v>
      </c>
      <c r="AJ18">
        <f t="shared" si="17"/>
        <v>1851.64</v>
      </c>
      <c r="AK18">
        <f t="shared" si="17"/>
        <v>1898.6000000000001</v>
      </c>
      <c r="AL18">
        <f t="shared" si="17"/>
        <v>1945.56</v>
      </c>
      <c r="AM18">
        <f t="shared" si="17"/>
        <v>1992.52</v>
      </c>
      <c r="AN18">
        <f t="shared" si="17"/>
        <v>2039.48</v>
      </c>
      <c r="AO18">
        <f t="shared" si="17"/>
        <v>2086.44</v>
      </c>
      <c r="AP18">
        <f t="shared" si="17"/>
        <v>2133.4</v>
      </c>
      <c r="AQ18">
        <f t="shared" si="17"/>
        <v>2180.36</v>
      </c>
      <c r="AR18">
        <f t="shared" ref="AR18:BG18" si="18">$B18+47*AR1</f>
        <v>2229</v>
      </c>
      <c r="AS18">
        <f t="shared" si="18"/>
        <v>2276</v>
      </c>
      <c r="AT18">
        <f t="shared" si="18"/>
        <v>2323</v>
      </c>
      <c r="AU18">
        <f t="shared" si="18"/>
        <v>2370</v>
      </c>
      <c r="AV18">
        <f t="shared" si="18"/>
        <v>2417</v>
      </c>
      <c r="AW18">
        <f t="shared" si="18"/>
        <v>2464</v>
      </c>
      <c r="AX18">
        <f t="shared" si="18"/>
        <v>2511</v>
      </c>
      <c r="AY18">
        <f t="shared" si="18"/>
        <v>2558</v>
      </c>
      <c r="AZ18">
        <f t="shared" si="18"/>
        <v>2605</v>
      </c>
      <c r="BA18">
        <f t="shared" si="18"/>
        <v>2652</v>
      </c>
      <c r="BB18">
        <f t="shared" si="18"/>
        <v>2699</v>
      </c>
      <c r="BC18">
        <f t="shared" si="18"/>
        <v>2746</v>
      </c>
      <c r="BD18">
        <f t="shared" si="18"/>
        <v>2793</v>
      </c>
      <c r="BE18">
        <f t="shared" si="18"/>
        <v>2840</v>
      </c>
      <c r="BF18">
        <f t="shared" si="18"/>
        <v>2887</v>
      </c>
      <c r="BG18">
        <f t="shared" si="18"/>
        <v>2934</v>
      </c>
    </row>
    <row r="19" spans="1:72" x14ac:dyDescent="0.2">
      <c r="A19" t="s">
        <v>19</v>
      </c>
      <c r="BH19">
        <v>335</v>
      </c>
      <c r="BJ19">
        <v>756</v>
      </c>
    </row>
    <row r="20" spans="1:72" x14ac:dyDescent="0.2">
      <c r="A20" t="s">
        <v>124</v>
      </c>
      <c r="B20">
        <v>400</v>
      </c>
      <c r="C20">
        <f t="shared" ref="C20:AH20" si="19">$B20+16*C1</f>
        <v>416</v>
      </c>
      <c r="D20">
        <f t="shared" si="19"/>
        <v>432</v>
      </c>
      <c r="E20">
        <f t="shared" si="19"/>
        <v>448</v>
      </c>
      <c r="F20">
        <f t="shared" si="19"/>
        <v>464</v>
      </c>
      <c r="G20">
        <f t="shared" si="19"/>
        <v>480</v>
      </c>
      <c r="H20">
        <f t="shared" si="19"/>
        <v>496</v>
      </c>
      <c r="I20">
        <f t="shared" si="19"/>
        <v>512</v>
      </c>
      <c r="J20">
        <f t="shared" si="19"/>
        <v>528</v>
      </c>
      <c r="K20">
        <f t="shared" si="19"/>
        <v>544</v>
      </c>
      <c r="L20">
        <f t="shared" si="19"/>
        <v>560</v>
      </c>
      <c r="M20">
        <f t="shared" si="19"/>
        <v>576</v>
      </c>
      <c r="N20">
        <f t="shared" si="19"/>
        <v>592</v>
      </c>
      <c r="O20">
        <f t="shared" si="19"/>
        <v>608</v>
      </c>
      <c r="P20">
        <f t="shared" si="19"/>
        <v>624</v>
      </c>
      <c r="Q20">
        <f t="shared" si="19"/>
        <v>640</v>
      </c>
      <c r="R20">
        <f t="shared" si="19"/>
        <v>656</v>
      </c>
      <c r="S20">
        <f t="shared" si="19"/>
        <v>672</v>
      </c>
      <c r="T20">
        <f t="shared" si="19"/>
        <v>688</v>
      </c>
      <c r="U20">
        <f t="shared" si="19"/>
        <v>704</v>
      </c>
      <c r="V20">
        <f t="shared" si="19"/>
        <v>720</v>
      </c>
      <c r="W20">
        <f t="shared" si="19"/>
        <v>736</v>
      </c>
      <c r="X20">
        <f t="shared" si="19"/>
        <v>752</v>
      </c>
      <c r="Y20">
        <f t="shared" si="19"/>
        <v>768</v>
      </c>
      <c r="Z20">
        <f t="shared" si="19"/>
        <v>784</v>
      </c>
      <c r="AA20">
        <f t="shared" si="19"/>
        <v>800</v>
      </c>
      <c r="AB20">
        <f t="shared" si="19"/>
        <v>816</v>
      </c>
      <c r="AC20">
        <f t="shared" si="19"/>
        <v>832</v>
      </c>
      <c r="AD20">
        <f t="shared" si="19"/>
        <v>848</v>
      </c>
      <c r="AE20">
        <f t="shared" si="19"/>
        <v>864</v>
      </c>
      <c r="AF20">
        <f t="shared" si="19"/>
        <v>880</v>
      </c>
      <c r="AG20">
        <f t="shared" si="19"/>
        <v>896</v>
      </c>
      <c r="AH20">
        <f t="shared" si="19"/>
        <v>912</v>
      </c>
      <c r="AI20">
        <f t="shared" ref="AI20:BN20" si="20">$B20+16*AI1</f>
        <v>928</v>
      </c>
      <c r="AJ20">
        <f t="shared" si="20"/>
        <v>944</v>
      </c>
      <c r="AK20">
        <f t="shared" si="20"/>
        <v>960</v>
      </c>
      <c r="AL20">
        <f t="shared" si="20"/>
        <v>976</v>
      </c>
      <c r="AM20">
        <f t="shared" si="20"/>
        <v>992</v>
      </c>
      <c r="AN20">
        <f t="shared" si="20"/>
        <v>1008</v>
      </c>
      <c r="AO20">
        <f t="shared" si="20"/>
        <v>1024</v>
      </c>
      <c r="AP20">
        <f t="shared" si="20"/>
        <v>1040</v>
      </c>
      <c r="AQ20">
        <f t="shared" si="20"/>
        <v>1056</v>
      </c>
      <c r="AR20">
        <f t="shared" si="20"/>
        <v>1072</v>
      </c>
      <c r="AS20">
        <f t="shared" si="20"/>
        <v>1088</v>
      </c>
      <c r="AT20">
        <f t="shared" si="20"/>
        <v>1104</v>
      </c>
      <c r="AU20">
        <f t="shared" si="20"/>
        <v>1120</v>
      </c>
      <c r="AV20">
        <f t="shared" si="20"/>
        <v>1136</v>
      </c>
      <c r="AW20">
        <f t="shared" si="20"/>
        <v>1152</v>
      </c>
      <c r="AX20">
        <f t="shared" si="20"/>
        <v>1168</v>
      </c>
      <c r="AY20">
        <f t="shared" si="20"/>
        <v>1184</v>
      </c>
      <c r="AZ20">
        <f t="shared" si="20"/>
        <v>1200</v>
      </c>
      <c r="BA20">
        <f t="shared" si="20"/>
        <v>1216</v>
      </c>
      <c r="BB20">
        <f t="shared" si="20"/>
        <v>1232</v>
      </c>
      <c r="BC20">
        <f t="shared" si="20"/>
        <v>1248</v>
      </c>
      <c r="BD20">
        <f t="shared" si="20"/>
        <v>1264</v>
      </c>
      <c r="BE20">
        <f t="shared" si="20"/>
        <v>1280</v>
      </c>
      <c r="BF20">
        <f t="shared" si="20"/>
        <v>1296</v>
      </c>
      <c r="BG20">
        <f t="shared" si="20"/>
        <v>1312</v>
      </c>
      <c r="BH20">
        <f t="shared" si="20"/>
        <v>1328</v>
      </c>
      <c r="BI20">
        <f t="shared" si="20"/>
        <v>1344</v>
      </c>
      <c r="BJ20">
        <f t="shared" si="20"/>
        <v>1360</v>
      </c>
      <c r="BK20">
        <f t="shared" si="20"/>
        <v>1376</v>
      </c>
      <c r="BL20">
        <f t="shared" si="20"/>
        <v>1392</v>
      </c>
      <c r="BM20">
        <f t="shared" si="20"/>
        <v>1408</v>
      </c>
      <c r="BN20">
        <f t="shared" si="20"/>
        <v>1424</v>
      </c>
      <c r="BO20">
        <f t="shared" ref="BO20:BT20" si="21">$B20+16*BO1</f>
        <v>1440</v>
      </c>
      <c r="BP20">
        <f t="shared" si="21"/>
        <v>1456</v>
      </c>
      <c r="BQ20">
        <f t="shared" si="21"/>
        <v>1472</v>
      </c>
      <c r="BR20">
        <f t="shared" si="21"/>
        <v>1488</v>
      </c>
      <c r="BS20">
        <f t="shared" si="21"/>
        <v>1504</v>
      </c>
      <c r="BT20">
        <f t="shared" si="21"/>
        <v>1520</v>
      </c>
    </row>
    <row r="21" spans="1:72" x14ac:dyDescent="0.2">
      <c r="A21" t="s">
        <v>125</v>
      </c>
      <c r="B21">
        <v>200</v>
      </c>
      <c r="C21">
        <f t="shared" ref="C21:AH21" si="22">$B21+8*C1</f>
        <v>208</v>
      </c>
      <c r="D21">
        <f t="shared" si="22"/>
        <v>216</v>
      </c>
      <c r="E21">
        <f t="shared" si="22"/>
        <v>224</v>
      </c>
      <c r="F21">
        <f t="shared" si="22"/>
        <v>232</v>
      </c>
      <c r="G21">
        <f t="shared" si="22"/>
        <v>240</v>
      </c>
      <c r="H21">
        <f t="shared" si="22"/>
        <v>248</v>
      </c>
      <c r="I21">
        <f t="shared" si="22"/>
        <v>256</v>
      </c>
      <c r="J21">
        <f t="shared" si="22"/>
        <v>264</v>
      </c>
      <c r="K21">
        <f t="shared" si="22"/>
        <v>272</v>
      </c>
      <c r="L21">
        <f t="shared" si="22"/>
        <v>280</v>
      </c>
      <c r="M21">
        <f t="shared" si="22"/>
        <v>288</v>
      </c>
      <c r="N21">
        <f t="shared" si="22"/>
        <v>296</v>
      </c>
      <c r="O21">
        <f t="shared" si="22"/>
        <v>304</v>
      </c>
      <c r="P21">
        <f t="shared" si="22"/>
        <v>312</v>
      </c>
      <c r="Q21">
        <f t="shared" si="22"/>
        <v>320</v>
      </c>
      <c r="R21">
        <f t="shared" si="22"/>
        <v>328</v>
      </c>
      <c r="S21">
        <f t="shared" si="22"/>
        <v>336</v>
      </c>
      <c r="T21">
        <f t="shared" si="22"/>
        <v>344</v>
      </c>
      <c r="U21">
        <f t="shared" si="22"/>
        <v>352</v>
      </c>
      <c r="V21">
        <f t="shared" si="22"/>
        <v>360</v>
      </c>
      <c r="W21">
        <f t="shared" si="22"/>
        <v>368</v>
      </c>
      <c r="X21">
        <f t="shared" si="22"/>
        <v>376</v>
      </c>
      <c r="Y21">
        <f t="shared" si="22"/>
        <v>384</v>
      </c>
      <c r="Z21">
        <f t="shared" si="22"/>
        <v>392</v>
      </c>
      <c r="AA21">
        <f t="shared" si="22"/>
        <v>400</v>
      </c>
      <c r="AB21">
        <f t="shared" si="22"/>
        <v>408</v>
      </c>
      <c r="AC21">
        <f t="shared" si="22"/>
        <v>416</v>
      </c>
      <c r="AD21">
        <f t="shared" si="22"/>
        <v>424</v>
      </c>
      <c r="AE21">
        <f t="shared" si="22"/>
        <v>432</v>
      </c>
      <c r="AF21">
        <f t="shared" si="22"/>
        <v>440</v>
      </c>
      <c r="AG21">
        <f t="shared" si="22"/>
        <v>448</v>
      </c>
      <c r="AH21">
        <f t="shared" si="22"/>
        <v>456</v>
      </c>
      <c r="AI21">
        <f t="shared" ref="AI21:BN21" si="23">$B21+8*AI1</f>
        <v>464</v>
      </c>
      <c r="AJ21">
        <f t="shared" si="23"/>
        <v>472</v>
      </c>
      <c r="AK21">
        <f t="shared" si="23"/>
        <v>480</v>
      </c>
      <c r="AL21">
        <f t="shared" si="23"/>
        <v>488</v>
      </c>
      <c r="AM21">
        <f t="shared" si="23"/>
        <v>496</v>
      </c>
      <c r="AN21">
        <f t="shared" si="23"/>
        <v>504</v>
      </c>
      <c r="AO21">
        <f t="shared" si="23"/>
        <v>512</v>
      </c>
      <c r="AP21">
        <f t="shared" si="23"/>
        <v>520</v>
      </c>
      <c r="AQ21">
        <f t="shared" si="23"/>
        <v>528</v>
      </c>
      <c r="AR21">
        <f t="shared" si="23"/>
        <v>536</v>
      </c>
      <c r="AS21">
        <f t="shared" si="23"/>
        <v>544</v>
      </c>
      <c r="AT21">
        <f t="shared" si="23"/>
        <v>552</v>
      </c>
      <c r="AU21">
        <f t="shared" si="23"/>
        <v>560</v>
      </c>
      <c r="AV21">
        <f t="shared" si="23"/>
        <v>568</v>
      </c>
      <c r="AW21">
        <f t="shared" si="23"/>
        <v>576</v>
      </c>
      <c r="AX21">
        <f t="shared" si="23"/>
        <v>584</v>
      </c>
      <c r="AY21">
        <f t="shared" si="23"/>
        <v>592</v>
      </c>
      <c r="AZ21">
        <f t="shared" si="23"/>
        <v>600</v>
      </c>
      <c r="BA21">
        <f t="shared" si="23"/>
        <v>608</v>
      </c>
      <c r="BB21">
        <f t="shared" si="23"/>
        <v>616</v>
      </c>
      <c r="BC21">
        <f t="shared" si="23"/>
        <v>624</v>
      </c>
      <c r="BD21">
        <f t="shared" si="23"/>
        <v>632</v>
      </c>
      <c r="BE21">
        <f t="shared" si="23"/>
        <v>640</v>
      </c>
      <c r="BF21">
        <f t="shared" si="23"/>
        <v>648</v>
      </c>
      <c r="BG21">
        <f t="shared" si="23"/>
        <v>656</v>
      </c>
      <c r="BH21">
        <f t="shared" si="23"/>
        <v>664</v>
      </c>
      <c r="BI21">
        <f t="shared" si="23"/>
        <v>672</v>
      </c>
      <c r="BJ21">
        <f t="shared" si="23"/>
        <v>680</v>
      </c>
      <c r="BK21">
        <f t="shared" si="23"/>
        <v>688</v>
      </c>
      <c r="BL21">
        <f t="shared" si="23"/>
        <v>696</v>
      </c>
      <c r="BM21">
        <f t="shared" si="23"/>
        <v>704</v>
      </c>
      <c r="BN21">
        <f t="shared" si="23"/>
        <v>712</v>
      </c>
      <c r="BO21">
        <f t="shared" ref="BO21:BT21" si="24">$B21+8*BO1</f>
        <v>720</v>
      </c>
      <c r="BP21">
        <f t="shared" si="24"/>
        <v>728</v>
      </c>
      <c r="BQ21">
        <f t="shared" si="24"/>
        <v>736</v>
      </c>
      <c r="BR21">
        <f t="shared" si="24"/>
        <v>744</v>
      </c>
      <c r="BS21">
        <f t="shared" si="24"/>
        <v>752</v>
      </c>
      <c r="BT21">
        <f t="shared" si="24"/>
        <v>760</v>
      </c>
    </row>
    <row r="22" spans="1:72" x14ac:dyDescent="0.2">
      <c r="A22" t="s">
        <v>25</v>
      </c>
      <c r="B22">
        <v>1291</v>
      </c>
      <c r="BF22" t="s">
        <v>26</v>
      </c>
      <c r="BH22">
        <v>4249</v>
      </c>
    </row>
    <row r="23" spans="1:72" x14ac:dyDescent="0.2">
      <c r="C23">
        <f t="shared" ref="C23:AH23" si="25">$B22+51*C1</f>
        <v>1342</v>
      </c>
      <c r="D23">
        <f t="shared" si="25"/>
        <v>1393</v>
      </c>
      <c r="E23">
        <f t="shared" si="25"/>
        <v>1444</v>
      </c>
      <c r="F23">
        <f t="shared" si="25"/>
        <v>1495</v>
      </c>
      <c r="G23">
        <f t="shared" si="25"/>
        <v>1546</v>
      </c>
      <c r="H23">
        <f t="shared" si="25"/>
        <v>1597</v>
      </c>
      <c r="I23">
        <f t="shared" si="25"/>
        <v>1648</v>
      </c>
      <c r="J23">
        <f t="shared" si="25"/>
        <v>1699</v>
      </c>
      <c r="K23">
        <f t="shared" si="25"/>
        <v>1750</v>
      </c>
      <c r="L23">
        <f t="shared" si="25"/>
        <v>1801</v>
      </c>
      <c r="M23">
        <f t="shared" si="25"/>
        <v>1852</v>
      </c>
      <c r="N23">
        <f t="shared" si="25"/>
        <v>1903</v>
      </c>
      <c r="O23">
        <f t="shared" si="25"/>
        <v>1954</v>
      </c>
      <c r="P23">
        <f t="shared" si="25"/>
        <v>2005</v>
      </c>
      <c r="Q23">
        <f t="shared" si="25"/>
        <v>2056</v>
      </c>
      <c r="R23">
        <f t="shared" si="25"/>
        <v>2107</v>
      </c>
      <c r="S23">
        <f t="shared" si="25"/>
        <v>2158</v>
      </c>
      <c r="T23">
        <f t="shared" si="25"/>
        <v>2209</v>
      </c>
      <c r="U23">
        <f t="shared" si="25"/>
        <v>2260</v>
      </c>
      <c r="V23">
        <f t="shared" si="25"/>
        <v>2311</v>
      </c>
      <c r="W23">
        <f t="shared" si="25"/>
        <v>2362</v>
      </c>
      <c r="X23">
        <f t="shared" si="25"/>
        <v>2413</v>
      </c>
      <c r="Y23">
        <f t="shared" si="25"/>
        <v>2464</v>
      </c>
      <c r="Z23">
        <f t="shared" si="25"/>
        <v>2515</v>
      </c>
      <c r="AA23">
        <f t="shared" si="25"/>
        <v>2566</v>
      </c>
      <c r="AB23">
        <f t="shared" si="25"/>
        <v>2617</v>
      </c>
      <c r="AC23">
        <f t="shared" si="25"/>
        <v>2668</v>
      </c>
      <c r="AD23">
        <f t="shared" si="25"/>
        <v>2719</v>
      </c>
      <c r="AE23">
        <f t="shared" si="25"/>
        <v>2770</v>
      </c>
      <c r="AF23">
        <f t="shared" si="25"/>
        <v>2821</v>
      </c>
      <c r="AG23">
        <f t="shared" si="25"/>
        <v>2872</v>
      </c>
      <c r="AH23">
        <f t="shared" si="25"/>
        <v>2923</v>
      </c>
      <c r="AI23">
        <f t="shared" ref="AI23:BN23" si="26">$B22+51*AI1</f>
        <v>2974</v>
      </c>
      <c r="AJ23">
        <f t="shared" si="26"/>
        <v>3025</v>
      </c>
      <c r="AK23">
        <f t="shared" si="26"/>
        <v>3076</v>
      </c>
      <c r="AL23">
        <f t="shared" si="26"/>
        <v>3127</v>
      </c>
      <c r="AM23">
        <f t="shared" si="26"/>
        <v>3178</v>
      </c>
      <c r="AN23">
        <f t="shared" si="26"/>
        <v>3229</v>
      </c>
      <c r="AO23">
        <f t="shared" si="26"/>
        <v>3280</v>
      </c>
      <c r="AP23">
        <f t="shared" si="26"/>
        <v>3331</v>
      </c>
      <c r="AQ23">
        <f t="shared" si="26"/>
        <v>3382</v>
      </c>
      <c r="AR23">
        <f t="shared" si="26"/>
        <v>3433</v>
      </c>
      <c r="AS23">
        <f t="shared" si="26"/>
        <v>3484</v>
      </c>
      <c r="AT23">
        <f t="shared" si="26"/>
        <v>3535</v>
      </c>
      <c r="AU23">
        <f t="shared" si="26"/>
        <v>3586</v>
      </c>
      <c r="AV23">
        <f t="shared" si="26"/>
        <v>3637</v>
      </c>
      <c r="AW23">
        <f t="shared" si="26"/>
        <v>3688</v>
      </c>
      <c r="AX23">
        <f t="shared" si="26"/>
        <v>3739</v>
      </c>
      <c r="AY23">
        <f t="shared" si="26"/>
        <v>3790</v>
      </c>
      <c r="AZ23">
        <f t="shared" si="26"/>
        <v>3841</v>
      </c>
      <c r="BA23">
        <f t="shared" si="26"/>
        <v>3892</v>
      </c>
      <c r="BB23">
        <f t="shared" si="26"/>
        <v>3943</v>
      </c>
      <c r="BC23">
        <f t="shared" si="26"/>
        <v>3994</v>
      </c>
      <c r="BD23">
        <f t="shared" si="26"/>
        <v>4045</v>
      </c>
      <c r="BE23">
        <f t="shared" si="26"/>
        <v>4096</v>
      </c>
      <c r="BF23">
        <f t="shared" si="26"/>
        <v>4147</v>
      </c>
      <c r="BG23">
        <f t="shared" si="26"/>
        <v>4198</v>
      </c>
      <c r="BH23">
        <f t="shared" si="26"/>
        <v>4249</v>
      </c>
    </row>
    <row r="24" spans="1:72" x14ac:dyDescent="0.2">
      <c r="A24" t="s">
        <v>30</v>
      </c>
      <c r="B24">
        <v>1050</v>
      </c>
      <c r="C24">
        <f t="shared" ref="C24:AH24" si="27">$B24+42*C1</f>
        <v>1092</v>
      </c>
      <c r="D24">
        <f t="shared" si="27"/>
        <v>1134</v>
      </c>
      <c r="E24">
        <f t="shared" si="27"/>
        <v>1176</v>
      </c>
      <c r="F24">
        <f t="shared" si="27"/>
        <v>1218</v>
      </c>
      <c r="G24">
        <f t="shared" si="27"/>
        <v>1260</v>
      </c>
      <c r="H24">
        <f t="shared" si="27"/>
        <v>1302</v>
      </c>
      <c r="I24">
        <f t="shared" si="27"/>
        <v>1344</v>
      </c>
      <c r="J24">
        <f t="shared" si="27"/>
        <v>1386</v>
      </c>
      <c r="K24">
        <f t="shared" si="27"/>
        <v>1428</v>
      </c>
      <c r="L24">
        <f t="shared" si="27"/>
        <v>1470</v>
      </c>
      <c r="M24">
        <f t="shared" si="27"/>
        <v>1512</v>
      </c>
      <c r="N24">
        <f t="shared" si="27"/>
        <v>1554</v>
      </c>
      <c r="O24">
        <f t="shared" si="27"/>
        <v>1596</v>
      </c>
      <c r="P24">
        <f t="shared" si="27"/>
        <v>1638</v>
      </c>
      <c r="Q24">
        <f t="shared" si="27"/>
        <v>1680</v>
      </c>
      <c r="R24">
        <f t="shared" si="27"/>
        <v>1722</v>
      </c>
      <c r="S24">
        <f t="shared" si="27"/>
        <v>1764</v>
      </c>
      <c r="T24">
        <f t="shared" si="27"/>
        <v>1806</v>
      </c>
      <c r="U24">
        <f t="shared" si="27"/>
        <v>1848</v>
      </c>
      <c r="V24">
        <f t="shared" si="27"/>
        <v>1890</v>
      </c>
      <c r="W24">
        <f t="shared" si="27"/>
        <v>1932</v>
      </c>
      <c r="X24">
        <f t="shared" si="27"/>
        <v>1974</v>
      </c>
      <c r="Y24">
        <f t="shared" si="27"/>
        <v>2016</v>
      </c>
      <c r="Z24">
        <f t="shared" si="27"/>
        <v>2058</v>
      </c>
      <c r="AA24">
        <f t="shared" si="27"/>
        <v>2100</v>
      </c>
      <c r="AB24">
        <f t="shared" si="27"/>
        <v>2142</v>
      </c>
      <c r="AC24">
        <f t="shared" si="27"/>
        <v>2184</v>
      </c>
      <c r="AD24">
        <f t="shared" si="27"/>
        <v>2226</v>
      </c>
      <c r="AE24">
        <f t="shared" si="27"/>
        <v>2268</v>
      </c>
      <c r="AF24">
        <f t="shared" si="27"/>
        <v>2310</v>
      </c>
      <c r="AG24">
        <f t="shared" si="27"/>
        <v>2352</v>
      </c>
      <c r="AH24">
        <f t="shared" si="27"/>
        <v>2394</v>
      </c>
      <c r="AI24">
        <f t="shared" ref="AI24:BN24" si="28">$B24+42*AI1</f>
        <v>2436</v>
      </c>
      <c r="AJ24">
        <f t="shared" si="28"/>
        <v>2478</v>
      </c>
      <c r="AK24">
        <f t="shared" si="28"/>
        <v>2520</v>
      </c>
      <c r="AL24">
        <f t="shared" si="28"/>
        <v>2562</v>
      </c>
      <c r="AM24">
        <f t="shared" si="28"/>
        <v>2604</v>
      </c>
      <c r="AN24">
        <f t="shared" si="28"/>
        <v>2646</v>
      </c>
      <c r="AO24">
        <f t="shared" si="28"/>
        <v>2688</v>
      </c>
      <c r="AP24">
        <f t="shared" si="28"/>
        <v>2730</v>
      </c>
      <c r="AQ24">
        <f t="shared" si="28"/>
        <v>2772</v>
      </c>
      <c r="AR24">
        <f t="shared" si="28"/>
        <v>2814</v>
      </c>
      <c r="AS24">
        <f t="shared" si="28"/>
        <v>2856</v>
      </c>
      <c r="AT24">
        <f t="shared" si="28"/>
        <v>2898</v>
      </c>
      <c r="AU24">
        <f t="shared" si="28"/>
        <v>2940</v>
      </c>
      <c r="AV24">
        <f t="shared" si="28"/>
        <v>2982</v>
      </c>
      <c r="AW24">
        <f t="shared" si="28"/>
        <v>3024</v>
      </c>
      <c r="AX24">
        <f t="shared" si="28"/>
        <v>3066</v>
      </c>
      <c r="AY24">
        <f t="shared" si="28"/>
        <v>3108</v>
      </c>
      <c r="AZ24">
        <f t="shared" si="28"/>
        <v>3150</v>
      </c>
      <c r="BA24">
        <f t="shared" si="28"/>
        <v>3192</v>
      </c>
      <c r="BB24">
        <f t="shared" si="28"/>
        <v>3234</v>
      </c>
      <c r="BC24">
        <f t="shared" si="28"/>
        <v>3276</v>
      </c>
      <c r="BD24">
        <f t="shared" si="28"/>
        <v>3318</v>
      </c>
      <c r="BE24">
        <f t="shared" si="28"/>
        <v>3360</v>
      </c>
      <c r="BF24">
        <f t="shared" si="28"/>
        <v>3402</v>
      </c>
      <c r="BG24">
        <f t="shared" si="28"/>
        <v>3444</v>
      </c>
      <c r="BH24">
        <f t="shared" si="28"/>
        <v>3486</v>
      </c>
      <c r="BI24">
        <f t="shared" si="28"/>
        <v>3528</v>
      </c>
      <c r="BJ24">
        <f t="shared" si="28"/>
        <v>3570</v>
      </c>
      <c r="BK24">
        <f t="shared" si="28"/>
        <v>3612</v>
      </c>
      <c r="BL24">
        <f t="shared" si="28"/>
        <v>3654</v>
      </c>
      <c r="BM24">
        <f t="shared" si="28"/>
        <v>3696</v>
      </c>
      <c r="BN24">
        <f t="shared" si="28"/>
        <v>3738</v>
      </c>
      <c r="BO24">
        <f t="shared" ref="BO24:BT24" si="29">$B24+42*BO1</f>
        <v>3780</v>
      </c>
      <c r="BP24">
        <f t="shared" si="29"/>
        <v>3822</v>
      </c>
      <c r="BQ24">
        <f t="shared" si="29"/>
        <v>3864</v>
      </c>
      <c r="BR24">
        <f t="shared" si="29"/>
        <v>3906</v>
      </c>
      <c r="BS24">
        <f t="shared" si="29"/>
        <v>3948</v>
      </c>
      <c r="BT24">
        <f t="shared" si="29"/>
        <v>3990</v>
      </c>
    </row>
    <row r="25" spans="1:72" x14ac:dyDescent="0.2">
      <c r="A25" t="s">
        <v>34</v>
      </c>
      <c r="BM25">
        <v>1408</v>
      </c>
    </row>
    <row r="26" spans="1:72" x14ac:dyDescent="0.2">
      <c r="A26" t="s">
        <v>88</v>
      </c>
      <c r="BF26">
        <v>5184</v>
      </c>
      <c r="BG26">
        <v>5248</v>
      </c>
    </row>
    <row r="27" spans="1:72" x14ac:dyDescent="0.2">
      <c r="A27" t="s">
        <v>47</v>
      </c>
      <c r="BI27">
        <v>5376</v>
      </c>
    </row>
    <row r="28" spans="1:72" x14ac:dyDescent="0.2">
      <c r="A28" t="s">
        <v>48</v>
      </c>
      <c r="BI28">
        <v>5241</v>
      </c>
    </row>
    <row r="29" spans="1:72" x14ac:dyDescent="0.2">
      <c r="A29" t="s">
        <v>57</v>
      </c>
      <c r="BO29">
        <v>720</v>
      </c>
    </row>
    <row r="31" spans="1:72" x14ac:dyDescent="0.2">
      <c r="AQ31" t="s">
        <v>126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 alignWithMargins="0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75CA-5F9B-4E17-9968-9172354D9333}">
  <dimension ref="A1:BT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2" sqref="O2"/>
    </sheetView>
  </sheetViews>
  <sheetFormatPr defaultColWidth="11.5" defaultRowHeight="12.9" x14ac:dyDescent="0.2"/>
  <cols>
    <col min="1" max="1" width="19.25" customWidth="1"/>
    <col min="2" max="72" width="6.375" customWidth="1"/>
  </cols>
  <sheetData>
    <row r="1" spans="1:72" x14ac:dyDescent="0.2">
      <c r="B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</row>
    <row r="2" spans="1:72" x14ac:dyDescent="0.2">
      <c r="A2" t="s">
        <v>127</v>
      </c>
      <c r="B2" s="5">
        <v>22</v>
      </c>
      <c r="C2" s="5">
        <v>24</v>
      </c>
      <c r="D2" s="5">
        <v>26</v>
      </c>
      <c r="E2" s="5">
        <v>28</v>
      </c>
      <c r="F2" s="5">
        <v>30</v>
      </c>
      <c r="G2" s="6">
        <v>32</v>
      </c>
      <c r="H2" s="6">
        <v>34</v>
      </c>
      <c r="I2" s="6">
        <v>36</v>
      </c>
      <c r="J2" s="6">
        <v>38</v>
      </c>
      <c r="K2" s="6">
        <v>41</v>
      </c>
      <c r="L2" s="5">
        <v>44</v>
      </c>
      <c r="M2">
        <v>46</v>
      </c>
      <c r="N2" s="5">
        <v>48</v>
      </c>
      <c r="O2" s="5">
        <v>50</v>
      </c>
      <c r="P2" s="6">
        <v>52</v>
      </c>
      <c r="Q2" s="6">
        <v>54</v>
      </c>
      <c r="R2" s="6">
        <v>56</v>
      </c>
      <c r="S2" s="6">
        <v>58</v>
      </c>
      <c r="T2" s="6">
        <v>60</v>
      </c>
      <c r="U2" s="6">
        <v>63</v>
      </c>
      <c r="V2" s="6">
        <v>66</v>
      </c>
      <c r="W2" s="6">
        <v>68</v>
      </c>
      <c r="X2" s="6">
        <v>70</v>
      </c>
      <c r="Y2" s="6">
        <v>72</v>
      </c>
      <c r="Z2" s="6">
        <v>74</v>
      </c>
      <c r="AA2" s="6">
        <v>76</v>
      </c>
      <c r="AB2" s="6">
        <v>78</v>
      </c>
      <c r="AC2" s="6">
        <v>80</v>
      </c>
      <c r="AD2">
        <v>83</v>
      </c>
      <c r="AE2" s="6">
        <v>86</v>
      </c>
      <c r="AF2" s="6">
        <v>88</v>
      </c>
      <c r="AG2" s="6">
        <v>90</v>
      </c>
      <c r="AH2" s="6">
        <v>92</v>
      </c>
      <c r="AI2" s="6">
        <v>94</v>
      </c>
      <c r="AJ2" s="6">
        <v>96</v>
      </c>
      <c r="AK2" s="6">
        <v>98</v>
      </c>
      <c r="AL2" s="6">
        <v>100</v>
      </c>
      <c r="AM2" s="6">
        <v>102</v>
      </c>
      <c r="AN2" s="6">
        <v>105</v>
      </c>
      <c r="AO2" s="6">
        <v>108</v>
      </c>
      <c r="AP2" s="6">
        <v>110</v>
      </c>
      <c r="AQ2" s="6">
        <v>112</v>
      </c>
      <c r="AR2" s="6">
        <v>114</v>
      </c>
      <c r="AS2" s="6">
        <v>116</v>
      </c>
      <c r="AT2" s="6">
        <v>118</v>
      </c>
      <c r="AU2" s="6">
        <v>120</v>
      </c>
      <c r="AV2" s="6">
        <v>122</v>
      </c>
      <c r="AW2" s="6">
        <v>124</v>
      </c>
      <c r="AX2" s="6">
        <v>127</v>
      </c>
      <c r="AY2" s="6">
        <v>130</v>
      </c>
      <c r="AZ2" s="6">
        <v>132</v>
      </c>
      <c r="BA2" s="6">
        <v>134</v>
      </c>
      <c r="BB2" s="6">
        <v>136</v>
      </c>
      <c r="BC2" s="6">
        <v>138</v>
      </c>
      <c r="BD2" s="6">
        <v>140</v>
      </c>
      <c r="BE2" s="6">
        <v>142</v>
      </c>
      <c r="BF2">
        <v>144</v>
      </c>
      <c r="BG2">
        <v>147</v>
      </c>
      <c r="BH2" s="6">
        <v>150</v>
      </c>
      <c r="BI2" s="6">
        <v>152</v>
      </c>
      <c r="BJ2" s="6">
        <v>154</v>
      </c>
      <c r="BK2" s="6">
        <v>156</v>
      </c>
      <c r="BL2" s="6">
        <v>158</v>
      </c>
      <c r="BM2">
        <v>160</v>
      </c>
    </row>
    <row r="3" spans="1:72" x14ac:dyDescent="0.2">
      <c r="B3">
        <v>22</v>
      </c>
    </row>
    <row r="4" spans="1:72" x14ac:dyDescent="0.2">
      <c r="A4" t="s">
        <v>128</v>
      </c>
      <c r="B4" s="7">
        <v>50</v>
      </c>
      <c r="C4" s="7">
        <f t="shared" ref="C4:AH4" si="0">$B4+3*C1</f>
        <v>53</v>
      </c>
      <c r="D4" s="7">
        <f t="shared" si="0"/>
        <v>56</v>
      </c>
      <c r="E4" s="7">
        <f t="shared" si="0"/>
        <v>59</v>
      </c>
      <c r="F4" s="7">
        <f t="shared" si="0"/>
        <v>62</v>
      </c>
      <c r="G4" s="7">
        <f t="shared" si="0"/>
        <v>65</v>
      </c>
      <c r="H4" s="7">
        <f t="shared" si="0"/>
        <v>68</v>
      </c>
      <c r="I4" s="7">
        <f t="shared" si="0"/>
        <v>71</v>
      </c>
      <c r="J4" s="7">
        <f t="shared" si="0"/>
        <v>74</v>
      </c>
      <c r="K4" s="7">
        <f t="shared" si="0"/>
        <v>77</v>
      </c>
      <c r="L4" s="7">
        <f t="shared" si="0"/>
        <v>80</v>
      </c>
      <c r="M4" s="7">
        <f t="shared" si="0"/>
        <v>83</v>
      </c>
      <c r="N4" s="7">
        <f t="shared" si="0"/>
        <v>86</v>
      </c>
      <c r="O4" s="7">
        <f t="shared" si="0"/>
        <v>89</v>
      </c>
      <c r="P4" s="7">
        <f t="shared" si="0"/>
        <v>92</v>
      </c>
      <c r="Q4" s="7">
        <f t="shared" si="0"/>
        <v>95</v>
      </c>
      <c r="R4" s="7">
        <f t="shared" si="0"/>
        <v>98</v>
      </c>
      <c r="S4" s="7">
        <f t="shared" si="0"/>
        <v>101</v>
      </c>
      <c r="T4" s="7">
        <f t="shared" si="0"/>
        <v>104</v>
      </c>
      <c r="U4" s="7">
        <f t="shared" si="0"/>
        <v>107</v>
      </c>
      <c r="V4" s="7">
        <f t="shared" si="0"/>
        <v>110</v>
      </c>
      <c r="W4" s="7">
        <f t="shared" si="0"/>
        <v>113</v>
      </c>
      <c r="X4" s="7">
        <f t="shared" si="0"/>
        <v>116</v>
      </c>
      <c r="Y4" s="7">
        <f t="shared" si="0"/>
        <v>119</v>
      </c>
      <c r="Z4" s="7">
        <f t="shared" si="0"/>
        <v>122</v>
      </c>
      <c r="AA4" s="7">
        <f t="shared" si="0"/>
        <v>125</v>
      </c>
      <c r="AB4" s="7">
        <f t="shared" si="0"/>
        <v>128</v>
      </c>
      <c r="AC4" s="7">
        <f t="shared" si="0"/>
        <v>131</v>
      </c>
      <c r="AD4" s="7">
        <f t="shared" si="0"/>
        <v>134</v>
      </c>
      <c r="AE4" s="7">
        <f t="shared" si="0"/>
        <v>137</v>
      </c>
      <c r="AF4" s="7">
        <f t="shared" si="0"/>
        <v>140</v>
      </c>
      <c r="AG4" s="7">
        <f t="shared" si="0"/>
        <v>143</v>
      </c>
      <c r="AH4" s="7">
        <f t="shared" si="0"/>
        <v>146</v>
      </c>
      <c r="AI4" s="7">
        <f t="shared" ref="AI4:BN4" si="1">$B4+3*AI1</f>
        <v>149</v>
      </c>
      <c r="AJ4" s="7">
        <f t="shared" si="1"/>
        <v>152</v>
      </c>
      <c r="AK4" s="7">
        <f t="shared" si="1"/>
        <v>155</v>
      </c>
      <c r="AL4" s="7">
        <f t="shared" si="1"/>
        <v>158</v>
      </c>
      <c r="AM4" s="7">
        <f t="shared" si="1"/>
        <v>161</v>
      </c>
      <c r="AN4" s="7">
        <f t="shared" si="1"/>
        <v>164</v>
      </c>
      <c r="AO4" s="7">
        <f t="shared" si="1"/>
        <v>167</v>
      </c>
      <c r="AP4" s="7">
        <f t="shared" si="1"/>
        <v>170</v>
      </c>
      <c r="AQ4" s="7">
        <f t="shared" si="1"/>
        <v>173</v>
      </c>
      <c r="AR4" s="7">
        <f t="shared" si="1"/>
        <v>176</v>
      </c>
      <c r="AS4" s="7">
        <f t="shared" si="1"/>
        <v>179</v>
      </c>
      <c r="AT4" s="7">
        <f t="shared" si="1"/>
        <v>182</v>
      </c>
      <c r="AU4" s="7">
        <f t="shared" si="1"/>
        <v>185</v>
      </c>
      <c r="AV4" s="7">
        <f t="shared" si="1"/>
        <v>188</v>
      </c>
      <c r="AW4" s="7">
        <f t="shared" si="1"/>
        <v>191</v>
      </c>
      <c r="AX4" s="7">
        <f t="shared" si="1"/>
        <v>194</v>
      </c>
      <c r="AY4" s="7">
        <f t="shared" si="1"/>
        <v>197</v>
      </c>
      <c r="AZ4" s="7">
        <f t="shared" si="1"/>
        <v>200</v>
      </c>
      <c r="BA4" s="7">
        <f t="shared" si="1"/>
        <v>203</v>
      </c>
      <c r="BB4" s="7">
        <f t="shared" si="1"/>
        <v>206</v>
      </c>
      <c r="BC4" s="7">
        <f t="shared" si="1"/>
        <v>209</v>
      </c>
      <c r="BD4" s="7">
        <f t="shared" si="1"/>
        <v>212</v>
      </c>
      <c r="BE4" s="7">
        <f t="shared" si="1"/>
        <v>215</v>
      </c>
      <c r="BF4" s="7">
        <f t="shared" si="1"/>
        <v>218</v>
      </c>
      <c r="BG4" s="7">
        <f t="shared" si="1"/>
        <v>221</v>
      </c>
      <c r="BH4" s="7">
        <f t="shared" si="1"/>
        <v>224</v>
      </c>
      <c r="BI4" s="7">
        <f t="shared" si="1"/>
        <v>227</v>
      </c>
      <c r="BJ4" s="7">
        <f t="shared" si="1"/>
        <v>230</v>
      </c>
      <c r="BK4" s="7">
        <f t="shared" si="1"/>
        <v>233</v>
      </c>
      <c r="BL4" s="7">
        <f t="shared" si="1"/>
        <v>236</v>
      </c>
      <c r="BM4" s="7">
        <f t="shared" si="1"/>
        <v>239</v>
      </c>
      <c r="BN4" s="7">
        <f t="shared" si="1"/>
        <v>242</v>
      </c>
      <c r="BO4" s="7">
        <f t="shared" ref="BO4:BT4" si="2">$B4+3*BO1</f>
        <v>245</v>
      </c>
      <c r="BP4" s="7">
        <f t="shared" si="2"/>
        <v>248</v>
      </c>
      <c r="BQ4" s="7">
        <f t="shared" si="2"/>
        <v>251</v>
      </c>
      <c r="BR4" s="7">
        <f t="shared" si="2"/>
        <v>254</v>
      </c>
      <c r="BS4" s="7">
        <f t="shared" si="2"/>
        <v>257</v>
      </c>
      <c r="BT4" s="7">
        <f t="shared" si="2"/>
        <v>260</v>
      </c>
    </row>
    <row r="5" spans="1:72" x14ac:dyDescent="0.2">
      <c r="A5" t="s">
        <v>129</v>
      </c>
      <c r="L5">
        <v>88</v>
      </c>
      <c r="AV5">
        <v>206</v>
      </c>
      <c r="AY5">
        <v>216</v>
      </c>
      <c r="BF5">
        <v>239</v>
      </c>
      <c r="BM5">
        <v>262</v>
      </c>
    </row>
    <row r="6" spans="1:72" x14ac:dyDescent="0.2">
      <c r="A6" t="s">
        <v>20</v>
      </c>
      <c r="BM6">
        <v>404</v>
      </c>
      <c r="BN6">
        <v>409</v>
      </c>
    </row>
    <row r="7" spans="1:72" x14ac:dyDescent="0.2">
      <c r="A7" t="s">
        <v>130</v>
      </c>
      <c r="B7" s="7">
        <v>30</v>
      </c>
      <c r="C7" s="7">
        <f t="shared" ref="C7:AH7" si="3">$B7+3*C1</f>
        <v>33</v>
      </c>
      <c r="D7" s="7">
        <f t="shared" si="3"/>
        <v>36</v>
      </c>
      <c r="E7" s="7">
        <f t="shared" si="3"/>
        <v>39</v>
      </c>
      <c r="F7" s="7">
        <f t="shared" si="3"/>
        <v>42</v>
      </c>
      <c r="G7" s="7">
        <f t="shared" si="3"/>
        <v>45</v>
      </c>
      <c r="H7" s="7">
        <f t="shared" si="3"/>
        <v>48</v>
      </c>
      <c r="I7" s="7">
        <f t="shared" si="3"/>
        <v>51</v>
      </c>
      <c r="J7" s="7">
        <f t="shared" si="3"/>
        <v>54</v>
      </c>
      <c r="K7" s="7">
        <f t="shared" si="3"/>
        <v>57</v>
      </c>
      <c r="L7" s="7">
        <f t="shared" si="3"/>
        <v>60</v>
      </c>
      <c r="M7" s="7">
        <f t="shared" si="3"/>
        <v>63</v>
      </c>
      <c r="N7" s="7">
        <f t="shared" si="3"/>
        <v>66</v>
      </c>
      <c r="O7" s="7">
        <f t="shared" si="3"/>
        <v>69</v>
      </c>
      <c r="P7" s="7">
        <f t="shared" si="3"/>
        <v>72</v>
      </c>
      <c r="Q7" s="7">
        <f t="shared" si="3"/>
        <v>75</v>
      </c>
      <c r="R7" s="7">
        <f t="shared" si="3"/>
        <v>78</v>
      </c>
      <c r="S7" s="7">
        <f t="shared" si="3"/>
        <v>81</v>
      </c>
      <c r="T7" s="7">
        <f t="shared" si="3"/>
        <v>84</v>
      </c>
      <c r="U7" s="7">
        <f t="shared" si="3"/>
        <v>87</v>
      </c>
      <c r="V7" s="7">
        <f t="shared" si="3"/>
        <v>90</v>
      </c>
      <c r="W7" s="7">
        <f t="shared" si="3"/>
        <v>93</v>
      </c>
      <c r="X7" s="7">
        <f t="shared" si="3"/>
        <v>96</v>
      </c>
      <c r="Y7" s="7">
        <f t="shared" si="3"/>
        <v>99</v>
      </c>
      <c r="Z7" s="7">
        <f t="shared" si="3"/>
        <v>102</v>
      </c>
      <c r="AA7" s="7">
        <f t="shared" si="3"/>
        <v>105</v>
      </c>
      <c r="AB7" s="7">
        <f t="shared" si="3"/>
        <v>108</v>
      </c>
      <c r="AC7" s="7">
        <f t="shared" si="3"/>
        <v>111</v>
      </c>
      <c r="AD7" s="7">
        <f t="shared" si="3"/>
        <v>114</v>
      </c>
      <c r="AE7" s="7">
        <f t="shared" si="3"/>
        <v>117</v>
      </c>
      <c r="AF7" s="7">
        <f t="shared" si="3"/>
        <v>120</v>
      </c>
      <c r="AG7" s="7">
        <f t="shared" si="3"/>
        <v>123</v>
      </c>
      <c r="AH7" s="7">
        <f t="shared" si="3"/>
        <v>126</v>
      </c>
      <c r="AI7" s="7">
        <f t="shared" ref="AI7:BN7" si="4">$B7+3*AI1</f>
        <v>129</v>
      </c>
      <c r="AJ7" s="7">
        <f t="shared" si="4"/>
        <v>132</v>
      </c>
      <c r="AK7" s="7">
        <f t="shared" si="4"/>
        <v>135</v>
      </c>
      <c r="AL7" s="7">
        <f t="shared" si="4"/>
        <v>138</v>
      </c>
      <c r="AM7" s="7">
        <f t="shared" si="4"/>
        <v>141</v>
      </c>
      <c r="AN7" s="7">
        <f t="shared" si="4"/>
        <v>144</v>
      </c>
      <c r="AO7" s="7">
        <f t="shared" si="4"/>
        <v>147</v>
      </c>
      <c r="AP7" s="7">
        <f t="shared" si="4"/>
        <v>150</v>
      </c>
      <c r="AQ7" s="7">
        <f t="shared" si="4"/>
        <v>153</v>
      </c>
      <c r="AR7" s="7">
        <f t="shared" si="4"/>
        <v>156</v>
      </c>
      <c r="AS7" s="7">
        <f t="shared" si="4"/>
        <v>159</v>
      </c>
      <c r="AT7" s="7">
        <f t="shared" si="4"/>
        <v>162</v>
      </c>
      <c r="AU7" s="7">
        <f t="shared" si="4"/>
        <v>165</v>
      </c>
      <c r="AV7" s="7">
        <f t="shared" si="4"/>
        <v>168</v>
      </c>
      <c r="AW7" s="7">
        <f t="shared" si="4"/>
        <v>171</v>
      </c>
      <c r="AX7" s="7">
        <f t="shared" si="4"/>
        <v>174</v>
      </c>
      <c r="AY7" s="7">
        <f t="shared" si="4"/>
        <v>177</v>
      </c>
      <c r="AZ7" s="7">
        <f t="shared" si="4"/>
        <v>180</v>
      </c>
      <c r="BA7" s="7">
        <f t="shared" si="4"/>
        <v>183</v>
      </c>
      <c r="BB7" s="7">
        <f t="shared" si="4"/>
        <v>186</v>
      </c>
      <c r="BC7" s="7">
        <f t="shared" si="4"/>
        <v>189</v>
      </c>
      <c r="BD7" s="7">
        <f t="shared" si="4"/>
        <v>192</v>
      </c>
      <c r="BE7" s="7">
        <f t="shared" si="4"/>
        <v>195</v>
      </c>
      <c r="BF7" s="7">
        <f t="shared" si="4"/>
        <v>198</v>
      </c>
      <c r="BG7" s="7">
        <f t="shared" si="4"/>
        <v>201</v>
      </c>
      <c r="BH7" s="7">
        <f t="shared" si="4"/>
        <v>204</v>
      </c>
      <c r="BI7" s="7">
        <f t="shared" si="4"/>
        <v>207</v>
      </c>
      <c r="BJ7" s="7">
        <f t="shared" si="4"/>
        <v>210</v>
      </c>
      <c r="BK7" s="7">
        <f t="shared" si="4"/>
        <v>213</v>
      </c>
      <c r="BL7" s="7">
        <f t="shared" si="4"/>
        <v>216</v>
      </c>
      <c r="BM7" s="7">
        <f t="shared" si="4"/>
        <v>219</v>
      </c>
      <c r="BN7" s="7">
        <f t="shared" si="4"/>
        <v>222</v>
      </c>
      <c r="BO7" s="7">
        <f t="shared" ref="BO7:BT7" si="5">$B7+3*BO1</f>
        <v>225</v>
      </c>
      <c r="BP7" s="7">
        <f t="shared" si="5"/>
        <v>228</v>
      </c>
      <c r="BQ7" s="7">
        <f t="shared" si="5"/>
        <v>231</v>
      </c>
      <c r="BR7" s="7">
        <f t="shared" si="5"/>
        <v>234</v>
      </c>
      <c r="BS7" s="7">
        <f t="shared" si="5"/>
        <v>237</v>
      </c>
      <c r="BT7" s="7">
        <f t="shared" si="5"/>
        <v>240</v>
      </c>
    </row>
    <row r="8" spans="1:72" x14ac:dyDescent="0.2">
      <c r="A8" t="s">
        <v>50</v>
      </c>
      <c r="AS8">
        <v>231</v>
      </c>
      <c r="AT8" s="6">
        <v>234</v>
      </c>
      <c r="AU8">
        <v>238</v>
      </c>
      <c r="AV8" s="6">
        <v>241</v>
      </c>
      <c r="AY8">
        <v>310</v>
      </c>
      <c r="BF8" t="s">
        <v>53</v>
      </c>
      <c r="BG8">
        <v>344</v>
      </c>
    </row>
    <row r="9" spans="1:72" x14ac:dyDescent="0.2">
      <c r="A9" t="s">
        <v>54</v>
      </c>
      <c r="AY9">
        <v>251</v>
      </c>
      <c r="BF9">
        <v>340</v>
      </c>
    </row>
    <row r="10" spans="1:72" x14ac:dyDescent="0.2">
      <c r="A10" t="s">
        <v>57</v>
      </c>
      <c r="BO10">
        <v>720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 alignWithMargins="0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9262-9CAE-4D66-9E31-A6952B5285E6}">
  <dimension ref="A1:BS16"/>
  <sheetViews>
    <sheetView workbookViewId="0">
      <pane xSplit="1" ySplit="1" topLeftCell="BB2" activePane="bottomRight" state="frozen"/>
      <selection pane="topRight" activeCell="BB1" sqref="BB1"/>
      <selection pane="bottomLeft" activeCell="A2" sqref="A2"/>
      <selection pane="bottomRight" activeCell="BD8" sqref="BD8"/>
    </sheetView>
  </sheetViews>
  <sheetFormatPr defaultColWidth="11.5" defaultRowHeight="12.9" x14ac:dyDescent="0.2"/>
  <cols>
    <col min="1" max="1" width="19.25" customWidth="1"/>
    <col min="2" max="71" width="6.375" customWidth="1"/>
  </cols>
  <sheetData>
    <row r="1" spans="1:71" x14ac:dyDescent="0.2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</row>
    <row r="2" spans="1:71" x14ac:dyDescent="0.2">
      <c r="A2" s="10" t="s">
        <v>131</v>
      </c>
      <c r="B2" s="5">
        <v>20</v>
      </c>
      <c r="C2">
        <v>23</v>
      </c>
      <c r="D2">
        <v>26</v>
      </c>
      <c r="E2" s="5">
        <v>29</v>
      </c>
      <c r="F2" s="5">
        <v>32</v>
      </c>
      <c r="G2" s="5">
        <v>35</v>
      </c>
      <c r="H2" s="5">
        <v>38</v>
      </c>
      <c r="I2" s="5">
        <v>41</v>
      </c>
      <c r="J2" s="6">
        <v>43</v>
      </c>
      <c r="K2" s="6">
        <v>46</v>
      </c>
      <c r="L2" s="5">
        <v>49</v>
      </c>
      <c r="M2" s="5">
        <v>52</v>
      </c>
      <c r="N2" s="5">
        <v>55</v>
      </c>
      <c r="O2" s="5">
        <v>58</v>
      </c>
      <c r="P2" s="5">
        <v>61</v>
      </c>
      <c r="Q2" s="5">
        <v>64</v>
      </c>
      <c r="R2" s="5">
        <v>66</v>
      </c>
      <c r="S2" s="7">
        <v>69</v>
      </c>
      <c r="T2" s="6">
        <v>72</v>
      </c>
      <c r="U2" s="6">
        <v>75</v>
      </c>
      <c r="V2" s="6">
        <v>78</v>
      </c>
      <c r="W2" s="6">
        <v>81</v>
      </c>
      <c r="X2" s="6">
        <v>83</v>
      </c>
      <c r="Y2" s="6">
        <v>86</v>
      </c>
      <c r="Z2" s="6">
        <v>89</v>
      </c>
      <c r="AA2" s="6">
        <v>92</v>
      </c>
      <c r="AB2" s="7">
        <v>95</v>
      </c>
      <c r="AC2" s="5">
        <v>98</v>
      </c>
      <c r="AD2" s="5">
        <v>101</v>
      </c>
      <c r="AE2" s="5">
        <v>104</v>
      </c>
      <c r="AF2" s="5">
        <v>107</v>
      </c>
      <c r="AG2" s="5">
        <v>110</v>
      </c>
      <c r="AH2">
        <v>113</v>
      </c>
      <c r="AJ2">
        <v>118</v>
      </c>
      <c r="AK2">
        <v>121</v>
      </c>
      <c r="AL2" s="5">
        <v>124</v>
      </c>
      <c r="AM2" s="5">
        <v>127</v>
      </c>
      <c r="AN2" s="5">
        <v>130</v>
      </c>
      <c r="AO2" s="5">
        <v>133</v>
      </c>
      <c r="AP2">
        <v>136</v>
      </c>
      <c r="AQ2">
        <v>138</v>
      </c>
    </row>
    <row r="3" spans="1:71" x14ac:dyDescent="0.2">
      <c r="A3" s="10" t="s">
        <v>132</v>
      </c>
      <c r="I3">
        <v>43</v>
      </c>
      <c r="K3">
        <v>46</v>
      </c>
      <c r="Y3">
        <v>91</v>
      </c>
      <c r="AC3" t="s">
        <v>133</v>
      </c>
    </row>
    <row r="4" spans="1:71" x14ac:dyDescent="0.2">
      <c r="A4" s="10" t="s">
        <v>134</v>
      </c>
      <c r="D4">
        <v>31</v>
      </c>
      <c r="E4">
        <v>34</v>
      </c>
      <c r="I4">
        <v>54</v>
      </c>
      <c r="N4" s="5">
        <v>67</v>
      </c>
      <c r="S4">
        <v>109</v>
      </c>
      <c r="Z4" s="5">
        <v>105</v>
      </c>
      <c r="AI4">
        <v>135</v>
      </c>
    </row>
    <row r="5" spans="1:71" x14ac:dyDescent="0.2">
      <c r="A5" s="10" t="s">
        <v>135</v>
      </c>
      <c r="I5" s="5">
        <v>50</v>
      </c>
      <c r="J5" s="6">
        <v>53</v>
      </c>
      <c r="K5" s="6">
        <v>56</v>
      </c>
      <c r="L5" s="6">
        <v>60</v>
      </c>
      <c r="M5" s="6">
        <v>64</v>
      </c>
      <c r="N5" s="5">
        <v>67</v>
      </c>
      <c r="O5" s="6">
        <v>71</v>
      </c>
      <c r="P5" s="6">
        <v>74</v>
      </c>
      <c r="Q5" s="6">
        <v>77</v>
      </c>
      <c r="R5" s="6">
        <v>80</v>
      </c>
      <c r="S5" s="6">
        <v>84</v>
      </c>
      <c r="T5" s="6">
        <v>87</v>
      </c>
      <c r="U5" s="6">
        <v>90</v>
      </c>
      <c r="V5" s="5">
        <v>95</v>
      </c>
      <c r="W5" s="6">
        <v>97</v>
      </c>
      <c r="X5" s="5">
        <v>102</v>
      </c>
      <c r="Y5">
        <v>103</v>
      </c>
      <c r="Z5" s="6">
        <v>106</v>
      </c>
      <c r="AA5" s="6">
        <v>109</v>
      </c>
      <c r="AB5" s="6">
        <v>113</v>
      </c>
      <c r="AC5" s="6">
        <v>117</v>
      </c>
      <c r="AD5" s="6">
        <v>121</v>
      </c>
      <c r="AE5" s="6">
        <v>125</v>
      </c>
      <c r="AF5" s="6">
        <v>129</v>
      </c>
      <c r="AG5" s="6">
        <v>133</v>
      </c>
      <c r="AH5" s="6">
        <v>137</v>
      </c>
      <c r="AI5" s="5">
        <v>141</v>
      </c>
      <c r="AP5" s="5">
        <v>166</v>
      </c>
    </row>
    <row r="6" spans="1:71" x14ac:dyDescent="0.2">
      <c r="A6" s="10"/>
      <c r="B6" s="6">
        <v>25</v>
      </c>
      <c r="C6" s="6">
        <f t="shared" ref="C6:AH6" si="0">ROUNDUP($B6+3.5*B1,0)</f>
        <v>29</v>
      </c>
      <c r="D6" s="6">
        <f t="shared" si="0"/>
        <v>32</v>
      </c>
      <c r="E6" s="6">
        <f t="shared" si="0"/>
        <v>36</v>
      </c>
      <c r="F6" s="6">
        <f t="shared" si="0"/>
        <v>39</v>
      </c>
      <c r="G6" s="6">
        <f t="shared" si="0"/>
        <v>43</v>
      </c>
      <c r="H6" s="6">
        <f t="shared" si="0"/>
        <v>46</v>
      </c>
      <c r="I6" s="6">
        <f t="shared" si="0"/>
        <v>50</v>
      </c>
      <c r="J6" s="6">
        <f t="shared" si="0"/>
        <v>53</v>
      </c>
      <c r="K6" s="6">
        <f t="shared" si="0"/>
        <v>57</v>
      </c>
      <c r="L6" s="6">
        <f t="shared" si="0"/>
        <v>60</v>
      </c>
      <c r="M6" s="6">
        <f t="shared" si="0"/>
        <v>64</v>
      </c>
      <c r="N6" s="6">
        <f t="shared" si="0"/>
        <v>67</v>
      </c>
      <c r="O6" s="6">
        <f t="shared" si="0"/>
        <v>71</v>
      </c>
      <c r="P6" s="6">
        <f t="shared" si="0"/>
        <v>74</v>
      </c>
      <c r="Q6" s="6">
        <f t="shared" si="0"/>
        <v>78</v>
      </c>
      <c r="R6" s="6">
        <f t="shared" si="0"/>
        <v>81</v>
      </c>
      <c r="S6" s="6">
        <f t="shared" si="0"/>
        <v>85</v>
      </c>
      <c r="T6" s="6">
        <f t="shared" si="0"/>
        <v>88</v>
      </c>
      <c r="U6" s="6">
        <f t="shared" si="0"/>
        <v>92</v>
      </c>
      <c r="V6" s="6">
        <f t="shared" si="0"/>
        <v>95</v>
      </c>
      <c r="W6" s="6">
        <f t="shared" si="0"/>
        <v>99</v>
      </c>
      <c r="X6" s="6">
        <f t="shared" si="0"/>
        <v>102</v>
      </c>
      <c r="Y6" s="6">
        <f t="shared" si="0"/>
        <v>106</v>
      </c>
      <c r="Z6" s="6">
        <f t="shared" si="0"/>
        <v>109</v>
      </c>
      <c r="AA6" s="6">
        <f t="shared" si="0"/>
        <v>113</v>
      </c>
      <c r="AB6" s="6">
        <f t="shared" si="0"/>
        <v>116</v>
      </c>
      <c r="AC6" s="6">
        <f t="shared" si="0"/>
        <v>120</v>
      </c>
      <c r="AD6" s="6">
        <f t="shared" si="0"/>
        <v>123</v>
      </c>
      <c r="AE6" s="6">
        <f t="shared" si="0"/>
        <v>127</v>
      </c>
      <c r="AF6" s="6">
        <f t="shared" si="0"/>
        <v>130</v>
      </c>
      <c r="AG6" s="6">
        <f t="shared" si="0"/>
        <v>134</v>
      </c>
      <c r="AH6" s="6">
        <f t="shared" si="0"/>
        <v>137</v>
      </c>
      <c r="AI6" s="6">
        <f t="shared" ref="AI6:BS6" si="1">ROUNDUP($B6+3.5*AH1,0)</f>
        <v>141</v>
      </c>
      <c r="AJ6" s="6">
        <f t="shared" si="1"/>
        <v>144</v>
      </c>
      <c r="AK6" s="6">
        <f t="shared" si="1"/>
        <v>148</v>
      </c>
      <c r="AL6" s="6">
        <f t="shared" si="1"/>
        <v>151</v>
      </c>
      <c r="AM6" s="6">
        <f t="shared" si="1"/>
        <v>155</v>
      </c>
      <c r="AN6" s="6">
        <f t="shared" si="1"/>
        <v>158</v>
      </c>
      <c r="AO6" s="6">
        <f t="shared" si="1"/>
        <v>162</v>
      </c>
      <c r="AP6" s="6">
        <f t="shared" si="1"/>
        <v>165</v>
      </c>
      <c r="AQ6" s="6">
        <f t="shared" si="1"/>
        <v>169</v>
      </c>
      <c r="AR6" s="6">
        <f t="shared" si="1"/>
        <v>172</v>
      </c>
      <c r="AS6" s="6">
        <f t="shared" si="1"/>
        <v>176</v>
      </c>
      <c r="AT6" s="6">
        <f t="shared" si="1"/>
        <v>179</v>
      </c>
      <c r="AU6" s="6">
        <f t="shared" si="1"/>
        <v>183</v>
      </c>
      <c r="AV6" s="6">
        <f t="shared" si="1"/>
        <v>186</v>
      </c>
      <c r="AW6" s="6">
        <f t="shared" si="1"/>
        <v>190</v>
      </c>
      <c r="AX6" s="6">
        <f t="shared" si="1"/>
        <v>193</v>
      </c>
      <c r="AY6" s="6">
        <f t="shared" si="1"/>
        <v>197</v>
      </c>
      <c r="AZ6" s="6">
        <f t="shared" si="1"/>
        <v>200</v>
      </c>
      <c r="BA6" s="6">
        <f t="shared" si="1"/>
        <v>204</v>
      </c>
      <c r="BB6" s="6">
        <f t="shared" si="1"/>
        <v>207</v>
      </c>
      <c r="BC6" s="6">
        <f t="shared" si="1"/>
        <v>211</v>
      </c>
      <c r="BD6" s="6">
        <f t="shared" si="1"/>
        <v>214</v>
      </c>
      <c r="BE6" s="6">
        <f t="shared" si="1"/>
        <v>218</v>
      </c>
      <c r="BF6" s="6">
        <f t="shared" si="1"/>
        <v>221</v>
      </c>
      <c r="BG6" s="6">
        <f t="shared" si="1"/>
        <v>225</v>
      </c>
      <c r="BH6" s="6">
        <f t="shared" si="1"/>
        <v>228</v>
      </c>
      <c r="BI6" s="6">
        <f t="shared" si="1"/>
        <v>232</v>
      </c>
      <c r="BJ6" s="6">
        <f t="shared" si="1"/>
        <v>235</v>
      </c>
      <c r="BK6" s="6">
        <f t="shared" si="1"/>
        <v>239</v>
      </c>
      <c r="BL6" s="6">
        <f t="shared" si="1"/>
        <v>242</v>
      </c>
      <c r="BM6" s="6">
        <f t="shared" si="1"/>
        <v>246</v>
      </c>
      <c r="BN6" s="6">
        <f t="shared" si="1"/>
        <v>249</v>
      </c>
      <c r="BO6" s="6">
        <f t="shared" si="1"/>
        <v>253</v>
      </c>
      <c r="BP6" s="6">
        <f t="shared" si="1"/>
        <v>256</v>
      </c>
      <c r="BQ6" s="6">
        <f t="shared" si="1"/>
        <v>260</v>
      </c>
      <c r="BR6" s="6">
        <f t="shared" si="1"/>
        <v>263</v>
      </c>
      <c r="BS6" s="6">
        <f t="shared" si="1"/>
        <v>267</v>
      </c>
    </row>
    <row r="7" spans="1:71" x14ac:dyDescent="0.2">
      <c r="A7" s="10" t="s">
        <v>136</v>
      </c>
      <c r="Z7">
        <v>100</v>
      </c>
      <c r="AA7" s="6">
        <v>103</v>
      </c>
      <c r="AB7">
        <v>106</v>
      </c>
      <c r="AC7">
        <v>109</v>
      </c>
      <c r="AI7">
        <v>128</v>
      </c>
      <c r="AJ7">
        <v>132</v>
      </c>
      <c r="AS7">
        <v>160</v>
      </c>
      <c r="BF7">
        <v>329</v>
      </c>
    </row>
    <row r="8" spans="1:71" x14ac:dyDescent="0.2">
      <c r="A8" s="10" t="s">
        <v>137</v>
      </c>
      <c r="AT8" s="6"/>
      <c r="AU8">
        <v>195</v>
      </c>
      <c r="AV8">
        <v>198</v>
      </c>
      <c r="AW8">
        <v>201</v>
      </c>
      <c r="AX8">
        <v>204</v>
      </c>
      <c r="BD8">
        <v>223</v>
      </c>
      <c r="BL8">
        <v>248</v>
      </c>
    </row>
    <row r="9" spans="1:71" x14ac:dyDescent="0.2">
      <c r="A9" s="10" t="s">
        <v>138</v>
      </c>
      <c r="AT9" s="6">
        <v>187</v>
      </c>
      <c r="BD9">
        <v>236</v>
      </c>
      <c r="BL9">
        <v>248</v>
      </c>
      <c r="BS9">
        <v>1535</v>
      </c>
    </row>
    <row r="10" spans="1:71" x14ac:dyDescent="0.2">
      <c r="A10" s="10" t="s">
        <v>139</v>
      </c>
      <c r="AT10" s="6">
        <v>228</v>
      </c>
      <c r="AU10" s="6">
        <v>236</v>
      </c>
      <c r="AV10" s="6">
        <v>240</v>
      </c>
      <c r="AW10">
        <v>244</v>
      </c>
      <c r="BD10">
        <v>270</v>
      </c>
      <c r="BF10" s="6">
        <v>277</v>
      </c>
      <c r="BL10">
        <v>301</v>
      </c>
    </row>
    <row r="11" spans="1:71" x14ac:dyDescent="0.2">
      <c r="A11" s="10" t="s">
        <v>140</v>
      </c>
      <c r="Y11">
        <v>91</v>
      </c>
    </row>
    <row r="12" spans="1:71" x14ac:dyDescent="0.2">
      <c r="A12" t="s">
        <v>140</v>
      </c>
      <c r="Q12">
        <v>81</v>
      </c>
      <c r="S12" s="7">
        <v>89</v>
      </c>
      <c r="T12">
        <v>92</v>
      </c>
      <c r="AQ12">
        <v>177</v>
      </c>
    </row>
    <row r="13" spans="1:71" x14ac:dyDescent="0.2">
      <c r="A13" t="s">
        <v>141</v>
      </c>
      <c r="Q13" s="5">
        <v>82</v>
      </c>
      <c r="R13" s="6">
        <v>86</v>
      </c>
      <c r="S13" s="7">
        <v>89</v>
      </c>
      <c r="T13" s="5">
        <v>93</v>
      </c>
      <c r="U13" s="6">
        <v>96</v>
      </c>
      <c r="V13" s="6">
        <v>99</v>
      </c>
      <c r="W13" s="6">
        <v>103</v>
      </c>
      <c r="X13" s="6">
        <v>107</v>
      </c>
      <c r="Y13" s="5">
        <v>111</v>
      </c>
      <c r="AB13">
        <v>122</v>
      </c>
      <c r="AC13">
        <v>126</v>
      </c>
      <c r="AD13">
        <v>129</v>
      </c>
      <c r="AE13" s="5">
        <v>133</v>
      </c>
      <c r="AF13">
        <v>137</v>
      </c>
      <c r="AI13">
        <v>148</v>
      </c>
      <c r="AJ13">
        <v>151</v>
      </c>
      <c r="AK13">
        <v>155</v>
      </c>
      <c r="AL13">
        <v>159</v>
      </c>
    </row>
    <row r="14" spans="1:71" x14ac:dyDescent="0.2">
      <c r="A14" t="s">
        <v>37</v>
      </c>
      <c r="U14" s="5">
        <v>109</v>
      </c>
      <c r="V14" s="5">
        <v>113</v>
      </c>
      <c r="Y14" s="6">
        <v>125</v>
      </c>
      <c r="AE14" s="6">
        <v>151</v>
      </c>
      <c r="AG14" s="5">
        <v>159</v>
      </c>
      <c r="AH14" s="6">
        <v>163</v>
      </c>
      <c r="AI14" s="6">
        <v>167</v>
      </c>
      <c r="AJ14">
        <v>171</v>
      </c>
      <c r="AK14">
        <v>175</v>
      </c>
      <c r="AL14">
        <v>179</v>
      </c>
      <c r="AT14">
        <v>222</v>
      </c>
    </row>
    <row r="15" spans="1:71" x14ac:dyDescent="0.2">
      <c r="A15" t="s">
        <v>60</v>
      </c>
      <c r="AT15">
        <v>222</v>
      </c>
      <c r="AU15">
        <v>225</v>
      </c>
      <c r="AV15">
        <v>229</v>
      </c>
      <c r="AX15" s="5">
        <v>236</v>
      </c>
      <c r="BB15" s="5">
        <v>250</v>
      </c>
    </row>
    <row r="16" spans="1:71" x14ac:dyDescent="0.2">
      <c r="A16" t="s">
        <v>61</v>
      </c>
      <c r="AU16">
        <v>233</v>
      </c>
      <c r="AX16" s="5">
        <v>244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 alignWithMargins="0"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87862-F985-4D8C-B178-A652394644B0}">
  <dimension ref="A1:BT6"/>
  <sheetViews>
    <sheetView workbookViewId="0">
      <pane xSplit="1" ySplit="1" topLeftCell="AI2" activePane="bottomRight" state="frozen"/>
      <selection pane="topRight" activeCell="AI1" sqref="AI1"/>
      <selection pane="bottomLeft" activeCell="A2" sqref="A2"/>
      <selection pane="bottomRight" activeCell="BE5" sqref="BE5"/>
    </sheetView>
  </sheetViews>
  <sheetFormatPr defaultColWidth="11.5" defaultRowHeight="12.9" x14ac:dyDescent="0.2"/>
  <cols>
    <col min="1" max="1" width="19.25" customWidth="1"/>
    <col min="2" max="20" width="6.375" customWidth="1"/>
    <col min="21" max="21" width="7.5" customWidth="1"/>
    <col min="22" max="72" width="6.375" customWidth="1"/>
  </cols>
  <sheetData>
    <row r="1" spans="1:72" x14ac:dyDescent="0.2">
      <c r="B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</row>
    <row r="2" spans="1:72" x14ac:dyDescent="0.2">
      <c r="A2" s="10" t="s">
        <v>98</v>
      </c>
      <c r="B2" s="10">
        <v>500</v>
      </c>
      <c r="C2">
        <f t="shared" ref="C2:AH2" si="0">$B2+60*C1</f>
        <v>560</v>
      </c>
      <c r="D2">
        <f t="shared" si="0"/>
        <v>620</v>
      </c>
      <c r="E2">
        <f t="shared" si="0"/>
        <v>680</v>
      </c>
      <c r="F2">
        <f t="shared" si="0"/>
        <v>740</v>
      </c>
      <c r="G2">
        <f t="shared" si="0"/>
        <v>800</v>
      </c>
      <c r="H2">
        <f t="shared" si="0"/>
        <v>860</v>
      </c>
      <c r="I2">
        <f t="shared" si="0"/>
        <v>920</v>
      </c>
      <c r="J2">
        <f t="shared" si="0"/>
        <v>980</v>
      </c>
      <c r="K2">
        <f t="shared" si="0"/>
        <v>1040</v>
      </c>
      <c r="L2">
        <f t="shared" si="0"/>
        <v>1100</v>
      </c>
      <c r="M2">
        <f t="shared" si="0"/>
        <v>1160</v>
      </c>
      <c r="N2">
        <f t="shared" si="0"/>
        <v>1220</v>
      </c>
      <c r="O2">
        <f t="shared" si="0"/>
        <v>1280</v>
      </c>
      <c r="P2">
        <f t="shared" si="0"/>
        <v>1340</v>
      </c>
      <c r="Q2">
        <f t="shared" si="0"/>
        <v>1400</v>
      </c>
      <c r="R2">
        <f t="shared" si="0"/>
        <v>1460</v>
      </c>
      <c r="S2">
        <f t="shared" si="0"/>
        <v>1520</v>
      </c>
      <c r="T2">
        <f t="shared" si="0"/>
        <v>1580</v>
      </c>
      <c r="U2">
        <f t="shared" si="0"/>
        <v>1640</v>
      </c>
      <c r="V2">
        <f t="shared" si="0"/>
        <v>1700</v>
      </c>
      <c r="W2">
        <f t="shared" si="0"/>
        <v>1760</v>
      </c>
      <c r="X2">
        <f t="shared" si="0"/>
        <v>1820</v>
      </c>
      <c r="Y2">
        <f t="shared" si="0"/>
        <v>1880</v>
      </c>
      <c r="Z2">
        <f t="shared" si="0"/>
        <v>1940</v>
      </c>
      <c r="AA2">
        <f t="shared" si="0"/>
        <v>2000</v>
      </c>
      <c r="AB2">
        <f t="shared" si="0"/>
        <v>2060</v>
      </c>
      <c r="AC2">
        <f t="shared" si="0"/>
        <v>2120</v>
      </c>
      <c r="AD2">
        <f t="shared" si="0"/>
        <v>2180</v>
      </c>
      <c r="AE2">
        <f t="shared" si="0"/>
        <v>2240</v>
      </c>
      <c r="AF2">
        <f t="shared" si="0"/>
        <v>2300</v>
      </c>
      <c r="AG2">
        <f t="shared" si="0"/>
        <v>2360</v>
      </c>
      <c r="AH2">
        <f t="shared" si="0"/>
        <v>2420</v>
      </c>
      <c r="AI2">
        <f t="shared" ref="AI2:BN2" si="1">$B2+60*AI1</f>
        <v>2480</v>
      </c>
      <c r="AJ2">
        <f t="shared" si="1"/>
        <v>2540</v>
      </c>
      <c r="AK2">
        <f t="shared" si="1"/>
        <v>2600</v>
      </c>
      <c r="AL2">
        <f t="shared" si="1"/>
        <v>2660</v>
      </c>
      <c r="AM2">
        <f t="shared" si="1"/>
        <v>2720</v>
      </c>
      <c r="AN2">
        <f t="shared" si="1"/>
        <v>2780</v>
      </c>
      <c r="AO2">
        <f t="shared" si="1"/>
        <v>2840</v>
      </c>
      <c r="AP2">
        <f t="shared" si="1"/>
        <v>2900</v>
      </c>
      <c r="AQ2">
        <f t="shared" si="1"/>
        <v>2960</v>
      </c>
      <c r="AR2">
        <f t="shared" si="1"/>
        <v>3020</v>
      </c>
      <c r="AS2">
        <f t="shared" si="1"/>
        <v>3080</v>
      </c>
      <c r="AT2">
        <f t="shared" si="1"/>
        <v>3140</v>
      </c>
      <c r="AU2">
        <f t="shared" si="1"/>
        <v>3200</v>
      </c>
      <c r="AV2">
        <f t="shared" si="1"/>
        <v>3260</v>
      </c>
      <c r="AW2">
        <f t="shared" si="1"/>
        <v>3320</v>
      </c>
      <c r="AX2">
        <f t="shared" si="1"/>
        <v>3380</v>
      </c>
      <c r="AY2">
        <f t="shared" si="1"/>
        <v>3440</v>
      </c>
      <c r="AZ2">
        <f t="shared" si="1"/>
        <v>3500</v>
      </c>
      <c r="BA2">
        <f t="shared" si="1"/>
        <v>3560</v>
      </c>
      <c r="BB2">
        <f t="shared" si="1"/>
        <v>3620</v>
      </c>
      <c r="BC2">
        <f t="shared" si="1"/>
        <v>3680</v>
      </c>
      <c r="BD2">
        <f t="shared" si="1"/>
        <v>3740</v>
      </c>
      <c r="BE2">
        <f t="shared" si="1"/>
        <v>3800</v>
      </c>
      <c r="BF2">
        <f t="shared" si="1"/>
        <v>3860</v>
      </c>
      <c r="BG2">
        <f t="shared" si="1"/>
        <v>3920</v>
      </c>
      <c r="BH2">
        <f t="shared" si="1"/>
        <v>3980</v>
      </c>
      <c r="BI2">
        <f t="shared" si="1"/>
        <v>4040</v>
      </c>
      <c r="BJ2">
        <f t="shared" si="1"/>
        <v>4100</v>
      </c>
      <c r="BK2">
        <f t="shared" si="1"/>
        <v>4160</v>
      </c>
      <c r="BL2">
        <f t="shared" si="1"/>
        <v>4220</v>
      </c>
      <c r="BM2">
        <f t="shared" si="1"/>
        <v>4280</v>
      </c>
      <c r="BN2">
        <f t="shared" si="1"/>
        <v>4340</v>
      </c>
      <c r="BO2">
        <f t="shared" ref="BO2:CT2" si="2">$B2+60*BO1</f>
        <v>4400</v>
      </c>
      <c r="BP2">
        <f t="shared" si="2"/>
        <v>4460</v>
      </c>
      <c r="BQ2">
        <f t="shared" si="2"/>
        <v>4520</v>
      </c>
      <c r="BR2">
        <f t="shared" si="2"/>
        <v>4580</v>
      </c>
      <c r="BS2">
        <f t="shared" si="2"/>
        <v>4640</v>
      </c>
      <c r="BT2">
        <f t="shared" si="2"/>
        <v>4700</v>
      </c>
    </row>
    <row r="3" spans="1:72" x14ac:dyDescent="0.2">
      <c r="A3" t="s">
        <v>3</v>
      </c>
      <c r="B3">
        <v>65.849999999999994</v>
      </c>
      <c r="C3">
        <f t="shared" ref="C3:O3" si="3">ROUNDUP($B3+4.15*C1,0)</f>
        <v>70</v>
      </c>
      <c r="D3">
        <f t="shared" si="3"/>
        <v>75</v>
      </c>
      <c r="E3">
        <f t="shared" si="3"/>
        <v>79</v>
      </c>
      <c r="F3">
        <f t="shared" si="3"/>
        <v>83</v>
      </c>
      <c r="G3">
        <f t="shared" si="3"/>
        <v>87</v>
      </c>
      <c r="H3">
        <f t="shared" si="3"/>
        <v>91</v>
      </c>
      <c r="I3">
        <f t="shared" si="3"/>
        <v>95</v>
      </c>
      <c r="J3">
        <f t="shared" si="3"/>
        <v>100</v>
      </c>
      <c r="K3" s="14">
        <f t="shared" si="3"/>
        <v>104</v>
      </c>
      <c r="L3" s="14">
        <f t="shared" si="3"/>
        <v>108</v>
      </c>
      <c r="M3">
        <f t="shared" si="3"/>
        <v>112</v>
      </c>
      <c r="N3" s="14">
        <f t="shared" si="3"/>
        <v>116</v>
      </c>
      <c r="O3">
        <f t="shared" si="3"/>
        <v>120</v>
      </c>
      <c r="P3" s="14">
        <v>125</v>
      </c>
      <c r="Q3">
        <f>ROUNDUP($B3+4.15*Q1,0)</f>
        <v>129</v>
      </c>
      <c r="R3">
        <f>ROUNDUP($B3+4.15*R1,0)</f>
        <v>133</v>
      </c>
      <c r="S3">
        <f>ROUNDUP($B3+4.15*S1,0)</f>
        <v>137</v>
      </c>
      <c r="T3" s="14">
        <v>141</v>
      </c>
      <c r="U3">
        <f>ROUNDUP($B3+4.15*U1,0)</f>
        <v>145</v>
      </c>
      <c r="V3">
        <f>ROUNDUP($B3+4.15*V1,0)</f>
        <v>149</v>
      </c>
      <c r="W3" s="14">
        <v>154</v>
      </c>
      <c r="X3">
        <f t="shared" ref="X3:AC3" si="4">ROUNDUP($B3+4.15*X1,0)</f>
        <v>158</v>
      </c>
      <c r="Y3">
        <f t="shared" si="4"/>
        <v>162</v>
      </c>
      <c r="Z3">
        <f t="shared" si="4"/>
        <v>166</v>
      </c>
      <c r="AA3">
        <f t="shared" si="4"/>
        <v>170</v>
      </c>
      <c r="AB3">
        <f t="shared" si="4"/>
        <v>174</v>
      </c>
      <c r="AC3">
        <f t="shared" si="4"/>
        <v>178</v>
      </c>
      <c r="AD3" s="14">
        <v>182</v>
      </c>
      <c r="AE3" s="14">
        <v>186</v>
      </c>
      <c r="AF3">
        <f>ROUNDUP($B3+4.15*AF1,0)</f>
        <v>191</v>
      </c>
      <c r="AG3">
        <f>ROUNDUP($B3+4.15*AG1,0)</f>
        <v>195</v>
      </c>
      <c r="AH3" s="14">
        <v>198</v>
      </c>
      <c r="AI3">
        <f>ROUNDUP($B3+4.15*AI1,0)</f>
        <v>203</v>
      </c>
      <c r="AJ3">
        <f>ROUNDUP($B3+4.15*AJ1,0)</f>
        <v>207</v>
      </c>
      <c r="AK3">
        <f>ROUNDUP($B3+4.15*AK1,0)</f>
        <v>212</v>
      </c>
      <c r="AL3">
        <f>ROUNDUP($B3+4.15*AL1,0)</f>
        <v>216</v>
      </c>
      <c r="AM3" s="14">
        <v>218</v>
      </c>
      <c r="AN3">
        <f>ROUNDUP($B3+4.15*AN1,0)</f>
        <v>224</v>
      </c>
      <c r="AO3">
        <f>ROUNDUP($B3+4.15*AO1,0)</f>
        <v>228</v>
      </c>
      <c r="AP3">
        <f>ROUNDUP($B3+4.15*AP1,0)</f>
        <v>232</v>
      </c>
      <c r="AQ3">
        <f>ROUNDUP($B3+4.15*AQ1,0)</f>
        <v>236</v>
      </c>
      <c r="AR3" s="14">
        <v>239</v>
      </c>
      <c r="AS3">
        <f t="shared" ref="AS3:BT3" si="5">ROUNDUP($B3+4.15*AS1,0)</f>
        <v>245</v>
      </c>
      <c r="AT3">
        <f t="shared" si="5"/>
        <v>249</v>
      </c>
      <c r="AU3">
        <f t="shared" si="5"/>
        <v>253</v>
      </c>
      <c r="AV3">
        <f t="shared" si="5"/>
        <v>257</v>
      </c>
      <c r="AW3">
        <f t="shared" si="5"/>
        <v>261</v>
      </c>
      <c r="AX3">
        <f t="shared" si="5"/>
        <v>266</v>
      </c>
      <c r="AY3">
        <f t="shared" si="5"/>
        <v>270</v>
      </c>
      <c r="AZ3">
        <f t="shared" si="5"/>
        <v>274</v>
      </c>
      <c r="BA3">
        <f t="shared" si="5"/>
        <v>278</v>
      </c>
      <c r="BB3">
        <f t="shared" si="5"/>
        <v>282</v>
      </c>
      <c r="BC3">
        <f t="shared" si="5"/>
        <v>286</v>
      </c>
      <c r="BD3">
        <f t="shared" si="5"/>
        <v>290</v>
      </c>
      <c r="BE3">
        <f t="shared" si="5"/>
        <v>295</v>
      </c>
      <c r="BF3">
        <f t="shared" si="5"/>
        <v>299</v>
      </c>
      <c r="BG3">
        <f t="shared" si="5"/>
        <v>303</v>
      </c>
      <c r="BH3">
        <f t="shared" si="5"/>
        <v>307</v>
      </c>
      <c r="BI3">
        <f t="shared" si="5"/>
        <v>311</v>
      </c>
      <c r="BJ3">
        <f t="shared" si="5"/>
        <v>315</v>
      </c>
      <c r="BK3">
        <f t="shared" si="5"/>
        <v>319</v>
      </c>
      <c r="BL3">
        <f t="shared" si="5"/>
        <v>324</v>
      </c>
      <c r="BM3">
        <f t="shared" si="5"/>
        <v>328</v>
      </c>
      <c r="BN3">
        <f t="shared" si="5"/>
        <v>332</v>
      </c>
      <c r="BO3">
        <f t="shared" si="5"/>
        <v>336</v>
      </c>
      <c r="BP3">
        <f t="shared" si="5"/>
        <v>340</v>
      </c>
      <c r="BQ3">
        <f t="shared" si="5"/>
        <v>344</v>
      </c>
      <c r="BR3">
        <f t="shared" si="5"/>
        <v>349</v>
      </c>
      <c r="BS3">
        <f t="shared" si="5"/>
        <v>353</v>
      </c>
      <c r="BT3">
        <f t="shared" si="5"/>
        <v>357</v>
      </c>
    </row>
    <row r="4" spans="1:72" x14ac:dyDescent="0.2">
      <c r="A4" t="s">
        <v>85</v>
      </c>
      <c r="B4">
        <v>322.5</v>
      </c>
      <c r="C4">
        <f t="shared" ref="C4:P4" si="6">ROUND($B4+57.5*C1,0)</f>
        <v>380</v>
      </c>
      <c r="D4">
        <f t="shared" si="6"/>
        <v>438</v>
      </c>
      <c r="E4">
        <f t="shared" si="6"/>
        <v>495</v>
      </c>
      <c r="F4">
        <f t="shared" si="6"/>
        <v>553</v>
      </c>
      <c r="G4">
        <f t="shared" si="6"/>
        <v>610</v>
      </c>
      <c r="H4">
        <f t="shared" si="6"/>
        <v>668</v>
      </c>
      <c r="I4">
        <f t="shared" si="6"/>
        <v>725</v>
      </c>
      <c r="J4">
        <f t="shared" si="6"/>
        <v>783</v>
      </c>
      <c r="K4">
        <f t="shared" si="6"/>
        <v>840</v>
      </c>
      <c r="L4">
        <f t="shared" si="6"/>
        <v>898</v>
      </c>
      <c r="M4">
        <f t="shared" si="6"/>
        <v>955</v>
      </c>
      <c r="N4">
        <f t="shared" si="6"/>
        <v>1013</v>
      </c>
      <c r="O4">
        <f t="shared" si="6"/>
        <v>1070</v>
      </c>
      <c r="P4">
        <f t="shared" si="6"/>
        <v>1128</v>
      </c>
      <c r="Q4" s="14">
        <v>1184</v>
      </c>
      <c r="R4">
        <f>ROUND($B4+57.5*R1,0)</f>
        <v>1243</v>
      </c>
      <c r="S4">
        <f>ROUND($B4+57.5*S1,0)</f>
        <v>1300</v>
      </c>
      <c r="T4">
        <f>ROUND($B4+57.5*T1,0)</f>
        <v>1358</v>
      </c>
      <c r="U4" s="14">
        <v>1414</v>
      </c>
      <c r="V4">
        <f t="shared" ref="V4:AB4" si="7">ROUND($B4+57.5*V1,0)</f>
        <v>1473</v>
      </c>
      <c r="W4">
        <f t="shared" si="7"/>
        <v>1530</v>
      </c>
      <c r="X4">
        <f t="shared" si="7"/>
        <v>1588</v>
      </c>
      <c r="Y4">
        <f t="shared" si="7"/>
        <v>1645</v>
      </c>
      <c r="Z4">
        <f t="shared" si="7"/>
        <v>1703</v>
      </c>
      <c r="AA4">
        <f t="shared" si="7"/>
        <v>1760</v>
      </c>
      <c r="AB4">
        <f t="shared" si="7"/>
        <v>1818</v>
      </c>
      <c r="AC4" s="14">
        <v>1875</v>
      </c>
      <c r="AD4">
        <f t="shared" ref="AD4:AI4" si="8">ROUND($B4+57.5*AD1,0)</f>
        <v>1933</v>
      </c>
      <c r="AE4">
        <f t="shared" si="8"/>
        <v>1990</v>
      </c>
      <c r="AF4">
        <f t="shared" si="8"/>
        <v>2048</v>
      </c>
      <c r="AG4">
        <f t="shared" si="8"/>
        <v>2105</v>
      </c>
      <c r="AH4">
        <f t="shared" si="8"/>
        <v>2163</v>
      </c>
      <c r="AI4">
        <f t="shared" si="8"/>
        <v>2220</v>
      </c>
      <c r="AJ4" s="14">
        <v>2278</v>
      </c>
      <c r="AK4">
        <f>ROUND($B4+57.5*AK1,0)</f>
        <v>2335</v>
      </c>
      <c r="AL4">
        <f>ROUND($B4+57.5*AL1,0)</f>
        <v>2393</v>
      </c>
      <c r="AM4">
        <f>ROUND($B4+57.5*AM1,0)</f>
        <v>2450</v>
      </c>
      <c r="AN4" s="14">
        <v>2508</v>
      </c>
      <c r="AO4" s="7">
        <v>2566</v>
      </c>
      <c r="AP4">
        <f>ROUND($B4+57.5*AP1,0)</f>
        <v>2623</v>
      </c>
      <c r="AQ4" s="14">
        <v>2681</v>
      </c>
      <c r="AR4">
        <f t="shared" ref="AR4:BT4" si="9">ROUND($B4+57.5*AR1,0)</f>
        <v>2738</v>
      </c>
      <c r="AS4">
        <f t="shared" si="9"/>
        <v>2795</v>
      </c>
      <c r="AT4">
        <f t="shared" si="9"/>
        <v>2853</v>
      </c>
      <c r="AU4">
        <f t="shared" si="9"/>
        <v>2910</v>
      </c>
      <c r="AV4">
        <f t="shared" si="9"/>
        <v>2968</v>
      </c>
      <c r="AW4">
        <f t="shared" si="9"/>
        <v>3025</v>
      </c>
      <c r="AX4">
        <f t="shared" si="9"/>
        <v>3083</v>
      </c>
      <c r="AY4">
        <f t="shared" si="9"/>
        <v>3140</v>
      </c>
      <c r="AZ4">
        <f t="shared" si="9"/>
        <v>3198</v>
      </c>
      <c r="BA4">
        <f t="shared" si="9"/>
        <v>3255</v>
      </c>
      <c r="BB4">
        <f t="shared" si="9"/>
        <v>3313</v>
      </c>
      <c r="BC4">
        <f t="shared" si="9"/>
        <v>3370</v>
      </c>
      <c r="BD4">
        <f t="shared" si="9"/>
        <v>3428</v>
      </c>
      <c r="BE4">
        <f t="shared" si="9"/>
        <v>3485</v>
      </c>
      <c r="BF4">
        <f t="shared" si="9"/>
        <v>3543</v>
      </c>
      <c r="BG4">
        <f t="shared" si="9"/>
        <v>3600</v>
      </c>
      <c r="BH4">
        <f t="shared" si="9"/>
        <v>3658</v>
      </c>
      <c r="BI4">
        <f t="shared" si="9"/>
        <v>3715</v>
      </c>
      <c r="BJ4">
        <f t="shared" si="9"/>
        <v>3773</v>
      </c>
      <c r="BK4">
        <f t="shared" si="9"/>
        <v>3830</v>
      </c>
      <c r="BL4">
        <f t="shared" si="9"/>
        <v>3888</v>
      </c>
      <c r="BM4">
        <f t="shared" si="9"/>
        <v>3945</v>
      </c>
      <c r="BN4">
        <f t="shared" si="9"/>
        <v>4003</v>
      </c>
      <c r="BO4">
        <f t="shared" si="9"/>
        <v>4060</v>
      </c>
      <c r="BP4">
        <f t="shared" si="9"/>
        <v>4118</v>
      </c>
      <c r="BQ4">
        <f t="shared" si="9"/>
        <v>4175</v>
      </c>
      <c r="BR4">
        <f t="shared" si="9"/>
        <v>4233</v>
      </c>
      <c r="BS4">
        <f t="shared" si="9"/>
        <v>4290</v>
      </c>
      <c r="BT4">
        <f t="shared" si="9"/>
        <v>4348</v>
      </c>
    </row>
    <row r="5" spans="1:72" x14ac:dyDescent="0.2">
      <c r="A5" t="s">
        <v>87</v>
      </c>
      <c r="B5">
        <v>1000</v>
      </c>
      <c r="C5">
        <f t="shared" ref="C5:AH5" si="10">$B5+60*C1</f>
        <v>1060</v>
      </c>
      <c r="D5">
        <f t="shared" si="10"/>
        <v>1120</v>
      </c>
      <c r="E5">
        <f t="shared" si="10"/>
        <v>1180</v>
      </c>
      <c r="F5">
        <f t="shared" si="10"/>
        <v>1240</v>
      </c>
      <c r="G5">
        <f t="shared" si="10"/>
        <v>1300</v>
      </c>
      <c r="H5">
        <f t="shared" si="10"/>
        <v>1360</v>
      </c>
      <c r="I5">
        <f t="shared" si="10"/>
        <v>1420</v>
      </c>
      <c r="J5">
        <f t="shared" si="10"/>
        <v>1480</v>
      </c>
      <c r="K5">
        <f t="shared" si="10"/>
        <v>1540</v>
      </c>
      <c r="L5">
        <f t="shared" si="10"/>
        <v>1600</v>
      </c>
      <c r="M5">
        <f t="shared" si="10"/>
        <v>1660</v>
      </c>
      <c r="N5">
        <f t="shared" si="10"/>
        <v>1720</v>
      </c>
      <c r="O5">
        <f t="shared" si="10"/>
        <v>1780</v>
      </c>
      <c r="P5">
        <f t="shared" si="10"/>
        <v>1840</v>
      </c>
      <c r="Q5">
        <f t="shared" si="10"/>
        <v>1900</v>
      </c>
      <c r="R5">
        <f t="shared" si="10"/>
        <v>1960</v>
      </c>
      <c r="S5">
        <f t="shared" si="10"/>
        <v>2020</v>
      </c>
      <c r="T5">
        <f t="shared" si="10"/>
        <v>2080</v>
      </c>
      <c r="U5">
        <f t="shared" si="10"/>
        <v>2140</v>
      </c>
      <c r="V5">
        <f t="shared" si="10"/>
        <v>2200</v>
      </c>
      <c r="W5">
        <f t="shared" si="10"/>
        <v>2260</v>
      </c>
      <c r="X5">
        <f t="shared" si="10"/>
        <v>2320</v>
      </c>
      <c r="Y5">
        <f t="shared" si="10"/>
        <v>2380</v>
      </c>
      <c r="Z5">
        <f t="shared" si="10"/>
        <v>2440</v>
      </c>
      <c r="AA5">
        <f t="shared" si="10"/>
        <v>2500</v>
      </c>
      <c r="AB5">
        <f t="shared" si="10"/>
        <v>2560</v>
      </c>
      <c r="AC5">
        <f t="shared" si="10"/>
        <v>2620</v>
      </c>
      <c r="AD5">
        <f t="shared" si="10"/>
        <v>2680</v>
      </c>
      <c r="AE5">
        <f t="shared" si="10"/>
        <v>2740</v>
      </c>
      <c r="AF5">
        <f t="shared" si="10"/>
        <v>2800</v>
      </c>
      <c r="AG5">
        <f t="shared" si="10"/>
        <v>2860</v>
      </c>
      <c r="AH5">
        <f t="shared" si="10"/>
        <v>2920</v>
      </c>
      <c r="AI5">
        <f t="shared" ref="AI5:BN5" si="11">$B5+60*AI1</f>
        <v>2980</v>
      </c>
      <c r="AJ5">
        <f t="shared" si="11"/>
        <v>3040</v>
      </c>
      <c r="AK5">
        <f t="shared" si="11"/>
        <v>3100</v>
      </c>
      <c r="AL5">
        <f t="shared" si="11"/>
        <v>3160</v>
      </c>
      <c r="AM5">
        <f t="shared" si="11"/>
        <v>3220</v>
      </c>
      <c r="AN5">
        <f t="shared" si="11"/>
        <v>3280</v>
      </c>
      <c r="AO5">
        <f t="shared" si="11"/>
        <v>3340</v>
      </c>
      <c r="AP5">
        <f t="shared" si="11"/>
        <v>3400</v>
      </c>
      <c r="AQ5">
        <f t="shared" si="11"/>
        <v>3460</v>
      </c>
      <c r="AR5">
        <f t="shared" si="11"/>
        <v>3520</v>
      </c>
      <c r="AS5">
        <f t="shared" si="11"/>
        <v>3580</v>
      </c>
      <c r="AT5">
        <f t="shared" si="11"/>
        <v>3640</v>
      </c>
      <c r="AU5">
        <f t="shared" si="11"/>
        <v>3700</v>
      </c>
      <c r="AV5">
        <f t="shared" si="11"/>
        <v>3760</v>
      </c>
      <c r="AW5">
        <f t="shared" si="11"/>
        <v>3820</v>
      </c>
      <c r="AX5">
        <f t="shared" si="11"/>
        <v>3880</v>
      </c>
      <c r="AY5">
        <f t="shared" si="11"/>
        <v>3940</v>
      </c>
      <c r="AZ5">
        <f t="shared" si="11"/>
        <v>4000</v>
      </c>
      <c r="BA5">
        <f t="shared" si="11"/>
        <v>4060</v>
      </c>
      <c r="BB5">
        <f t="shared" si="11"/>
        <v>4120</v>
      </c>
      <c r="BC5">
        <f t="shared" si="11"/>
        <v>4180</v>
      </c>
      <c r="BD5">
        <f t="shared" si="11"/>
        <v>4240</v>
      </c>
      <c r="BE5">
        <f t="shared" si="11"/>
        <v>4300</v>
      </c>
      <c r="BF5">
        <f t="shared" si="11"/>
        <v>4360</v>
      </c>
      <c r="BG5">
        <f t="shared" si="11"/>
        <v>4420</v>
      </c>
      <c r="BH5">
        <f t="shared" si="11"/>
        <v>4480</v>
      </c>
      <c r="BI5">
        <f t="shared" si="11"/>
        <v>4540</v>
      </c>
      <c r="BJ5">
        <f t="shared" si="11"/>
        <v>4600</v>
      </c>
      <c r="BK5">
        <f t="shared" si="11"/>
        <v>4660</v>
      </c>
      <c r="BL5">
        <f t="shared" si="11"/>
        <v>4720</v>
      </c>
      <c r="BM5">
        <f t="shared" si="11"/>
        <v>4780</v>
      </c>
      <c r="BN5">
        <f t="shared" si="11"/>
        <v>4840</v>
      </c>
      <c r="BO5">
        <f t="shared" ref="BO5:BT5" si="12">$B5+60*BO1</f>
        <v>4900</v>
      </c>
      <c r="BP5">
        <f t="shared" si="12"/>
        <v>4960</v>
      </c>
      <c r="BQ5">
        <f t="shared" si="12"/>
        <v>5020</v>
      </c>
      <c r="BR5">
        <f t="shared" si="12"/>
        <v>5080</v>
      </c>
      <c r="BS5">
        <f t="shared" si="12"/>
        <v>5140</v>
      </c>
      <c r="BT5">
        <f t="shared" si="12"/>
        <v>5200</v>
      </c>
    </row>
    <row r="6" spans="1:72" x14ac:dyDescent="0.2">
      <c r="A6" t="s">
        <v>67</v>
      </c>
      <c r="B6">
        <v>950</v>
      </c>
      <c r="C6">
        <f t="shared" ref="C6:AH6" si="13">$B6+57*C1</f>
        <v>1007</v>
      </c>
      <c r="D6">
        <f t="shared" si="13"/>
        <v>1064</v>
      </c>
      <c r="E6">
        <f t="shared" si="13"/>
        <v>1121</v>
      </c>
      <c r="F6">
        <f t="shared" si="13"/>
        <v>1178</v>
      </c>
      <c r="G6">
        <f t="shared" si="13"/>
        <v>1235</v>
      </c>
      <c r="H6">
        <f t="shared" si="13"/>
        <v>1292</v>
      </c>
      <c r="I6">
        <f t="shared" si="13"/>
        <v>1349</v>
      </c>
      <c r="J6">
        <f t="shared" si="13"/>
        <v>1406</v>
      </c>
      <c r="K6">
        <f t="shared" si="13"/>
        <v>1463</v>
      </c>
      <c r="L6">
        <f t="shared" si="13"/>
        <v>1520</v>
      </c>
      <c r="M6">
        <f t="shared" si="13"/>
        <v>1577</v>
      </c>
      <c r="N6">
        <f t="shared" si="13"/>
        <v>1634</v>
      </c>
      <c r="O6">
        <f t="shared" si="13"/>
        <v>1691</v>
      </c>
      <c r="P6">
        <f t="shared" si="13"/>
        <v>1748</v>
      </c>
      <c r="Q6">
        <f t="shared" si="13"/>
        <v>1805</v>
      </c>
      <c r="R6">
        <f t="shared" si="13"/>
        <v>1862</v>
      </c>
      <c r="S6">
        <f t="shared" si="13"/>
        <v>1919</v>
      </c>
      <c r="T6">
        <f t="shared" si="13"/>
        <v>1976</v>
      </c>
      <c r="U6">
        <f t="shared" si="13"/>
        <v>2033</v>
      </c>
      <c r="V6">
        <f t="shared" si="13"/>
        <v>2090</v>
      </c>
      <c r="W6">
        <f t="shared" si="13"/>
        <v>2147</v>
      </c>
      <c r="X6">
        <f t="shared" si="13"/>
        <v>2204</v>
      </c>
      <c r="Y6">
        <f t="shared" si="13"/>
        <v>2261</v>
      </c>
      <c r="Z6">
        <f t="shared" si="13"/>
        <v>2318</v>
      </c>
      <c r="AA6">
        <f t="shared" si="13"/>
        <v>2375</v>
      </c>
      <c r="AB6">
        <f t="shared" si="13"/>
        <v>2432</v>
      </c>
      <c r="AC6">
        <f t="shared" si="13"/>
        <v>2489</v>
      </c>
      <c r="AD6">
        <f t="shared" si="13"/>
        <v>2546</v>
      </c>
      <c r="AE6">
        <f t="shared" si="13"/>
        <v>2603</v>
      </c>
      <c r="AF6">
        <f t="shared" si="13"/>
        <v>2660</v>
      </c>
      <c r="AG6">
        <f t="shared" si="13"/>
        <v>2717</v>
      </c>
      <c r="AH6">
        <f t="shared" si="13"/>
        <v>2774</v>
      </c>
      <c r="AI6">
        <f t="shared" ref="AI6:BN6" si="14">$B6+57*AI1</f>
        <v>2831</v>
      </c>
      <c r="AJ6">
        <f t="shared" si="14"/>
        <v>2888</v>
      </c>
      <c r="AK6">
        <f t="shared" si="14"/>
        <v>2945</v>
      </c>
      <c r="AL6">
        <f t="shared" si="14"/>
        <v>3002</v>
      </c>
      <c r="AM6">
        <f t="shared" si="14"/>
        <v>3059</v>
      </c>
      <c r="AN6">
        <f t="shared" si="14"/>
        <v>3116</v>
      </c>
      <c r="AO6">
        <f t="shared" si="14"/>
        <v>3173</v>
      </c>
      <c r="AP6">
        <f t="shared" si="14"/>
        <v>3230</v>
      </c>
      <c r="AQ6">
        <f t="shared" si="14"/>
        <v>3287</v>
      </c>
      <c r="AR6">
        <f t="shared" si="14"/>
        <v>3344</v>
      </c>
      <c r="AS6">
        <f t="shared" si="14"/>
        <v>3401</v>
      </c>
      <c r="AT6">
        <f t="shared" si="14"/>
        <v>3458</v>
      </c>
      <c r="AU6">
        <f t="shared" si="14"/>
        <v>3515</v>
      </c>
      <c r="AV6">
        <f t="shared" si="14"/>
        <v>3572</v>
      </c>
      <c r="AW6">
        <f t="shared" si="14"/>
        <v>3629</v>
      </c>
      <c r="AX6">
        <f t="shared" si="14"/>
        <v>3686</v>
      </c>
      <c r="AY6">
        <f t="shared" si="14"/>
        <v>3743</v>
      </c>
      <c r="AZ6">
        <f t="shared" si="14"/>
        <v>3800</v>
      </c>
      <c r="BA6">
        <f t="shared" si="14"/>
        <v>3857</v>
      </c>
      <c r="BB6">
        <f t="shared" si="14"/>
        <v>3914</v>
      </c>
      <c r="BC6">
        <f t="shared" si="14"/>
        <v>3971</v>
      </c>
      <c r="BD6">
        <f t="shared" si="14"/>
        <v>4028</v>
      </c>
      <c r="BE6">
        <f t="shared" si="14"/>
        <v>4085</v>
      </c>
      <c r="BF6">
        <f t="shared" si="14"/>
        <v>4142</v>
      </c>
      <c r="BG6">
        <f t="shared" si="14"/>
        <v>4199</v>
      </c>
      <c r="BH6">
        <f t="shared" si="14"/>
        <v>4256</v>
      </c>
      <c r="BI6">
        <f t="shared" si="14"/>
        <v>4313</v>
      </c>
      <c r="BJ6">
        <f t="shared" si="14"/>
        <v>4370</v>
      </c>
      <c r="BK6">
        <f t="shared" si="14"/>
        <v>4427</v>
      </c>
      <c r="BL6">
        <f t="shared" si="14"/>
        <v>4484</v>
      </c>
      <c r="BM6">
        <f t="shared" si="14"/>
        <v>4541</v>
      </c>
      <c r="BN6">
        <f t="shared" si="14"/>
        <v>4598</v>
      </c>
      <c r="BO6">
        <f t="shared" ref="BO6:BT6" si="15">$B6+57*BO1</f>
        <v>4655</v>
      </c>
      <c r="BP6">
        <f t="shared" si="15"/>
        <v>4712</v>
      </c>
      <c r="BQ6">
        <f t="shared" si="15"/>
        <v>4769</v>
      </c>
      <c r="BR6">
        <f t="shared" si="15"/>
        <v>4826</v>
      </c>
      <c r="BS6">
        <f t="shared" si="15"/>
        <v>4883</v>
      </c>
      <c r="BT6">
        <f t="shared" si="15"/>
        <v>4940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 alignWithMargins="0"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FA8B8-8B7F-4A94-A57C-4BA455022B1C}">
  <dimension ref="A1:BT6"/>
  <sheetViews>
    <sheetView workbookViewId="0">
      <pane xSplit="1" ySplit="1" topLeftCell="AJ2" activePane="bottomRight" state="frozen"/>
      <selection pane="topRight" activeCell="AJ1" sqref="AJ1"/>
      <selection pane="bottomLeft" activeCell="A2" sqref="A2"/>
      <selection pane="bottomRight" activeCell="AN5" sqref="AN5"/>
    </sheetView>
  </sheetViews>
  <sheetFormatPr defaultColWidth="11.5" defaultRowHeight="12.9" x14ac:dyDescent="0.2"/>
  <cols>
    <col min="1" max="1" width="19.25" customWidth="1"/>
    <col min="2" max="72" width="6.375" customWidth="1"/>
  </cols>
  <sheetData>
    <row r="1" spans="1:72" x14ac:dyDescent="0.2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</row>
    <row r="2" spans="1:72" x14ac:dyDescent="0.2">
      <c r="A2" s="10" t="s">
        <v>142</v>
      </c>
      <c r="B2" s="10">
        <v>110</v>
      </c>
      <c r="C2">
        <f t="shared" ref="C2:AO2" si="0">ROUND($B2+((44*C1)/10),0)</f>
        <v>114</v>
      </c>
      <c r="D2">
        <f t="shared" si="0"/>
        <v>119</v>
      </c>
      <c r="E2">
        <f t="shared" si="0"/>
        <v>123</v>
      </c>
      <c r="F2">
        <f t="shared" si="0"/>
        <v>128</v>
      </c>
      <c r="G2">
        <f t="shared" si="0"/>
        <v>132</v>
      </c>
      <c r="H2">
        <f t="shared" si="0"/>
        <v>136</v>
      </c>
      <c r="I2">
        <f t="shared" si="0"/>
        <v>141</v>
      </c>
      <c r="J2">
        <f t="shared" si="0"/>
        <v>145</v>
      </c>
      <c r="K2">
        <f t="shared" si="0"/>
        <v>150</v>
      </c>
      <c r="L2">
        <f t="shared" si="0"/>
        <v>154</v>
      </c>
      <c r="M2">
        <f t="shared" si="0"/>
        <v>158</v>
      </c>
      <c r="N2">
        <f t="shared" si="0"/>
        <v>163</v>
      </c>
      <c r="O2">
        <f t="shared" si="0"/>
        <v>167</v>
      </c>
      <c r="P2">
        <f t="shared" si="0"/>
        <v>172</v>
      </c>
      <c r="Q2">
        <f t="shared" si="0"/>
        <v>176</v>
      </c>
      <c r="R2">
        <f t="shared" si="0"/>
        <v>180</v>
      </c>
      <c r="S2">
        <f t="shared" si="0"/>
        <v>185</v>
      </c>
      <c r="T2">
        <f t="shared" si="0"/>
        <v>189</v>
      </c>
      <c r="U2">
        <f t="shared" si="0"/>
        <v>194</v>
      </c>
      <c r="V2">
        <f t="shared" si="0"/>
        <v>198</v>
      </c>
      <c r="W2">
        <f t="shared" si="0"/>
        <v>202</v>
      </c>
      <c r="X2">
        <f t="shared" si="0"/>
        <v>207</v>
      </c>
      <c r="Y2">
        <f t="shared" si="0"/>
        <v>211</v>
      </c>
      <c r="Z2">
        <f t="shared" si="0"/>
        <v>216</v>
      </c>
      <c r="AA2">
        <f t="shared" si="0"/>
        <v>220</v>
      </c>
      <c r="AB2">
        <f t="shared" si="0"/>
        <v>224</v>
      </c>
      <c r="AC2">
        <f t="shared" si="0"/>
        <v>229</v>
      </c>
      <c r="AD2">
        <f t="shared" si="0"/>
        <v>233</v>
      </c>
      <c r="AE2">
        <f t="shared" si="0"/>
        <v>238</v>
      </c>
      <c r="AF2">
        <f t="shared" si="0"/>
        <v>242</v>
      </c>
      <c r="AG2">
        <f t="shared" si="0"/>
        <v>246</v>
      </c>
      <c r="AH2">
        <f t="shared" si="0"/>
        <v>251</v>
      </c>
      <c r="AI2">
        <f t="shared" si="0"/>
        <v>255</v>
      </c>
      <c r="AJ2">
        <f t="shared" si="0"/>
        <v>260</v>
      </c>
      <c r="AK2">
        <f t="shared" si="0"/>
        <v>264</v>
      </c>
      <c r="AL2">
        <f t="shared" si="0"/>
        <v>268</v>
      </c>
      <c r="AM2">
        <f t="shared" si="0"/>
        <v>273</v>
      </c>
      <c r="AN2">
        <f t="shared" si="0"/>
        <v>277</v>
      </c>
      <c r="AO2">
        <f t="shared" si="0"/>
        <v>282</v>
      </c>
      <c r="AP2" s="14">
        <v>286</v>
      </c>
      <c r="AQ2">
        <f>ROUND($B2+((44*AQ1)/10),0)</f>
        <v>290</v>
      </c>
      <c r="AR2">
        <f>ROUND($B2+((44*AR1)/10),0)</f>
        <v>295</v>
      </c>
      <c r="AS2">
        <f>ROUND($B2+((44*AS1)/10),0)</f>
        <v>299</v>
      </c>
      <c r="AT2" s="16">
        <v>303</v>
      </c>
      <c r="AU2">
        <f t="shared" ref="AU2:BD2" si="1">ROUND($B2+((44*AU1)/10),0)</f>
        <v>308</v>
      </c>
      <c r="AV2">
        <f t="shared" si="1"/>
        <v>312</v>
      </c>
      <c r="AW2">
        <f t="shared" si="1"/>
        <v>317</v>
      </c>
      <c r="AX2">
        <f t="shared" si="1"/>
        <v>321</v>
      </c>
      <c r="AY2">
        <f t="shared" si="1"/>
        <v>326</v>
      </c>
      <c r="AZ2">
        <f t="shared" si="1"/>
        <v>330</v>
      </c>
      <c r="BA2">
        <f t="shared" si="1"/>
        <v>334</v>
      </c>
      <c r="BB2">
        <f t="shared" si="1"/>
        <v>339</v>
      </c>
      <c r="BC2">
        <f t="shared" si="1"/>
        <v>343</v>
      </c>
      <c r="BD2">
        <f t="shared" si="1"/>
        <v>348</v>
      </c>
      <c r="BE2" s="14">
        <v>352</v>
      </c>
      <c r="BF2">
        <f t="shared" ref="BF2:BT2" si="2">ROUND($B2+((44*BF1)/10),0)</f>
        <v>356</v>
      </c>
      <c r="BG2">
        <f t="shared" si="2"/>
        <v>361</v>
      </c>
      <c r="BH2" s="5">
        <f t="shared" si="2"/>
        <v>365</v>
      </c>
      <c r="BI2">
        <f t="shared" si="2"/>
        <v>370</v>
      </c>
      <c r="BJ2">
        <f t="shared" si="2"/>
        <v>374</v>
      </c>
      <c r="BK2">
        <f t="shared" si="2"/>
        <v>378</v>
      </c>
      <c r="BL2">
        <f t="shared" si="2"/>
        <v>383</v>
      </c>
      <c r="BM2">
        <f t="shared" si="2"/>
        <v>387</v>
      </c>
      <c r="BN2">
        <f t="shared" si="2"/>
        <v>392</v>
      </c>
      <c r="BO2">
        <f t="shared" si="2"/>
        <v>396</v>
      </c>
      <c r="BP2">
        <f t="shared" si="2"/>
        <v>400</v>
      </c>
      <c r="BQ2">
        <f t="shared" si="2"/>
        <v>405</v>
      </c>
      <c r="BR2">
        <f t="shared" si="2"/>
        <v>409</v>
      </c>
      <c r="BS2">
        <f t="shared" si="2"/>
        <v>414</v>
      </c>
      <c r="BT2">
        <f t="shared" si="2"/>
        <v>418</v>
      </c>
    </row>
    <row r="3" spans="1:72" x14ac:dyDescent="0.2">
      <c r="A3" s="10" t="s">
        <v>143</v>
      </c>
      <c r="B3" s="10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Q3">
        <v>250</v>
      </c>
      <c r="AS3">
        <v>258</v>
      </c>
      <c r="AT3">
        <v>262</v>
      </c>
      <c r="AU3">
        <v>266</v>
      </c>
      <c r="BA3" s="6">
        <v>292</v>
      </c>
      <c r="BE3" s="14">
        <v>304</v>
      </c>
      <c r="BF3" s="14">
        <v>307</v>
      </c>
      <c r="BG3" s="14">
        <v>311</v>
      </c>
    </row>
    <row r="4" spans="1:72" x14ac:dyDescent="0.2">
      <c r="A4" s="10" t="s">
        <v>144</v>
      </c>
      <c r="B4" s="10">
        <v>350</v>
      </c>
      <c r="C4" s="3">
        <f t="shared" ref="C4:AH4" si="3">$B4+21*C1</f>
        <v>371</v>
      </c>
      <c r="D4" s="3">
        <f t="shared" si="3"/>
        <v>392</v>
      </c>
      <c r="E4" s="3">
        <f t="shared" si="3"/>
        <v>413</v>
      </c>
      <c r="F4" s="3">
        <f t="shared" si="3"/>
        <v>434</v>
      </c>
      <c r="G4" s="3">
        <f t="shared" si="3"/>
        <v>455</v>
      </c>
      <c r="H4" s="3">
        <f t="shared" si="3"/>
        <v>476</v>
      </c>
      <c r="I4" s="3">
        <f t="shared" si="3"/>
        <v>497</v>
      </c>
      <c r="J4" s="3">
        <f t="shared" si="3"/>
        <v>518</v>
      </c>
      <c r="K4" s="3">
        <f t="shared" si="3"/>
        <v>539</v>
      </c>
      <c r="L4" s="3">
        <f t="shared" si="3"/>
        <v>560</v>
      </c>
      <c r="M4" s="3">
        <f t="shared" si="3"/>
        <v>581</v>
      </c>
      <c r="N4" s="3">
        <f t="shared" si="3"/>
        <v>602</v>
      </c>
      <c r="O4" s="3">
        <f t="shared" si="3"/>
        <v>623</v>
      </c>
      <c r="P4" s="3">
        <f t="shared" si="3"/>
        <v>644</v>
      </c>
      <c r="Q4" s="3">
        <f t="shared" si="3"/>
        <v>665</v>
      </c>
      <c r="R4" s="3">
        <f t="shared" si="3"/>
        <v>686</v>
      </c>
      <c r="S4" s="3">
        <f t="shared" si="3"/>
        <v>707</v>
      </c>
      <c r="T4" s="3">
        <f t="shared" si="3"/>
        <v>728</v>
      </c>
      <c r="U4" s="3">
        <f t="shared" si="3"/>
        <v>749</v>
      </c>
      <c r="V4" s="3">
        <f t="shared" si="3"/>
        <v>770</v>
      </c>
      <c r="W4" s="3">
        <f t="shared" si="3"/>
        <v>791</v>
      </c>
      <c r="X4" s="3">
        <f t="shared" si="3"/>
        <v>812</v>
      </c>
      <c r="Y4" s="3">
        <f t="shared" si="3"/>
        <v>833</v>
      </c>
      <c r="Z4" s="3">
        <f t="shared" si="3"/>
        <v>854</v>
      </c>
      <c r="AA4" s="3">
        <f t="shared" si="3"/>
        <v>875</v>
      </c>
      <c r="AB4" s="3">
        <f t="shared" si="3"/>
        <v>896</v>
      </c>
      <c r="AC4" s="3">
        <f t="shared" si="3"/>
        <v>917</v>
      </c>
      <c r="AD4" s="3">
        <f t="shared" si="3"/>
        <v>938</v>
      </c>
      <c r="AE4" s="3">
        <f t="shared" si="3"/>
        <v>959</v>
      </c>
      <c r="AF4" s="3">
        <f t="shared" si="3"/>
        <v>980</v>
      </c>
      <c r="AG4" s="3">
        <f t="shared" si="3"/>
        <v>1001</v>
      </c>
      <c r="AH4" s="3">
        <f t="shared" si="3"/>
        <v>1022</v>
      </c>
      <c r="AI4" s="3">
        <f t="shared" ref="AI4:BN4" si="4">$B4+21*AI1</f>
        <v>1043</v>
      </c>
      <c r="AJ4" s="3">
        <f t="shared" si="4"/>
        <v>1064</v>
      </c>
      <c r="AK4" s="3">
        <f t="shared" si="4"/>
        <v>1085</v>
      </c>
      <c r="AL4" s="3">
        <f t="shared" si="4"/>
        <v>1106</v>
      </c>
      <c r="AM4" s="3">
        <f t="shared" si="4"/>
        <v>1127</v>
      </c>
      <c r="AN4" s="3">
        <f t="shared" si="4"/>
        <v>1148</v>
      </c>
      <c r="AO4" s="3">
        <f t="shared" si="4"/>
        <v>1169</v>
      </c>
      <c r="AP4" s="3">
        <f t="shared" si="4"/>
        <v>1190</v>
      </c>
      <c r="AQ4" s="3">
        <f t="shared" si="4"/>
        <v>1211</v>
      </c>
      <c r="AR4" s="3">
        <f t="shared" si="4"/>
        <v>1232</v>
      </c>
      <c r="AS4" s="3">
        <f t="shared" si="4"/>
        <v>1253</v>
      </c>
      <c r="AT4" s="3">
        <f t="shared" si="4"/>
        <v>1274</v>
      </c>
      <c r="AU4" s="3">
        <f t="shared" si="4"/>
        <v>1295</v>
      </c>
      <c r="AV4" s="3">
        <f t="shared" si="4"/>
        <v>1316</v>
      </c>
      <c r="AW4" s="3">
        <f t="shared" si="4"/>
        <v>1337</v>
      </c>
      <c r="AX4" s="3">
        <f t="shared" si="4"/>
        <v>1358</v>
      </c>
      <c r="AY4" s="3">
        <f t="shared" si="4"/>
        <v>1379</v>
      </c>
      <c r="AZ4" s="3">
        <f t="shared" si="4"/>
        <v>1400</v>
      </c>
      <c r="BA4" s="3">
        <f t="shared" si="4"/>
        <v>1421</v>
      </c>
      <c r="BB4" s="3">
        <f t="shared" si="4"/>
        <v>1442</v>
      </c>
      <c r="BC4" s="3">
        <f t="shared" si="4"/>
        <v>1463</v>
      </c>
      <c r="BD4" s="3">
        <f t="shared" si="4"/>
        <v>1484</v>
      </c>
      <c r="BE4" s="3">
        <f t="shared" si="4"/>
        <v>1505</v>
      </c>
      <c r="BF4" s="3">
        <f t="shared" si="4"/>
        <v>1526</v>
      </c>
      <c r="BG4" s="3">
        <f t="shared" si="4"/>
        <v>1547</v>
      </c>
      <c r="BH4" s="3">
        <f t="shared" si="4"/>
        <v>1568</v>
      </c>
      <c r="BI4" s="3">
        <f t="shared" si="4"/>
        <v>1589</v>
      </c>
      <c r="BJ4" s="3">
        <f t="shared" si="4"/>
        <v>1610</v>
      </c>
      <c r="BK4" s="3">
        <f t="shared" si="4"/>
        <v>1631</v>
      </c>
      <c r="BL4" s="3">
        <f t="shared" si="4"/>
        <v>1652</v>
      </c>
      <c r="BM4" s="3">
        <f t="shared" si="4"/>
        <v>1673</v>
      </c>
      <c r="BN4" s="3">
        <f t="shared" si="4"/>
        <v>1694</v>
      </c>
      <c r="BO4" s="3">
        <f t="shared" ref="BO4:BT4" si="5">$B4+21*BO1</f>
        <v>1715</v>
      </c>
      <c r="BP4" s="3">
        <f t="shared" si="5"/>
        <v>1736</v>
      </c>
      <c r="BQ4" s="3">
        <f t="shared" si="5"/>
        <v>1757</v>
      </c>
      <c r="BR4" s="3">
        <f t="shared" si="5"/>
        <v>1778</v>
      </c>
      <c r="BS4" s="3">
        <f t="shared" si="5"/>
        <v>1799</v>
      </c>
      <c r="BT4" s="3">
        <f t="shared" si="5"/>
        <v>1820</v>
      </c>
    </row>
    <row r="5" spans="1:72" x14ac:dyDescent="0.2">
      <c r="A5" s="10" t="s">
        <v>145</v>
      </c>
      <c r="B5" s="10">
        <v>150</v>
      </c>
      <c r="C5">
        <f t="shared" ref="C5:AP5" si="6">$B5+9*C1</f>
        <v>159</v>
      </c>
      <c r="D5">
        <f t="shared" si="6"/>
        <v>168</v>
      </c>
      <c r="E5">
        <f t="shared" si="6"/>
        <v>177</v>
      </c>
      <c r="F5">
        <f t="shared" si="6"/>
        <v>186</v>
      </c>
      <c r="G5">
        <f t="shared" si="6"/>
        <v>195</v>
      </c>
      <c r="H5">
        <f t="shared" si="6"/>
        <v>204</v>
      </c>
      <c r="I5">
        <f t="shared" si="6"/>
        <v>213</v>
      </c>
      <c r="J5">
        <f t="shared" si="6"/>
        <v>222</v>
      </c>
      <c r="K5">
        <f t="shared" si="6"/>
        <v>231</v>
      </c>
      <c r="L5">
        <f t="shared" si="6"/>
        <v>240</v>
      </c>
      <c r="M5">
        <f t="shared" si="6"/>
        <v>249</v>
      </c>
      <c r="N5">
        <f t="shared" si="6"/>
        <v>258</v>
      </c>
      <c r="O5">
        <f t="shared" si="6"/>
        <v>267</v>
      </c>
      <c r="P5">
        <f t="shared" si="6"/>
        <v>276</v>
      </c>
      <c r="Q5">
        <f t="shared" si="6"/>
        <v>285</v>
      </c>
      <c r="R5">
        <f t="shared" si="6"/>
        <v>294</v>
      </c>
      <c r="S5">
        <f t="shared" si="6"/>
        <v>303</v>
      </c>
      <c r="T5">
        <f t="shared" si="6"/>
        <v>312</v>
      </c>
      <c r="U5">
        <f t="shared" si="6"/>
        <v>321</v>
      </c>
      <c r="V5">
        <f t="shared" si="6"/>
        <v>330</v>
      </c>
      <c r="W5">
        <f t="shared" si="6"/>
        <v>339</v>
      </c>
      <c r="X5">
        <f t="shared" si="6"/>
        <v>348</v>
      </c>
      <c r="Y5">
        <f t="shared" si="6"/>
        <v>357</v>
      </c>
      <c r="Z5">
        <f t="shared" si="6"/>
        <v>366</v>
      </c>
      <c r="AA5">
        <f t="shared" si="6"/>
        <v>375</v>
      </c>
      <c r="AB5">
        <f t="shared" si="6"/>
        <v>384</v>
      </c>
      <c r="AC5">
        <f t="shared" si="6"/>
        <v>393</v>
      </c>
      <c r="AD5">
        <f t="shared" si="6"/>
        <v>402</v>
      </c>
      <c r="AE5">
        <f t="shared" si="6"/>
        <v>411</v>
      </c>
      <c r="AF5">
        <f t="shared" si="6"/>
        <v>420</v>
      </c>
      <c r="AG5">
        <f t="shared" si="6"/>
        <v>429</v>
      </c>
      <c r="AH5">
        <f t="shared" si="6"/>
        <v>438</v>
      </c>
      <c r="AI5">
        <f t="shared" si="6"/>
        <v>447</v>
      </c>
      <c r="AJ5">
        <f t="shared" si="6"/>
        <v>456</v>
      </c>
      <c r="AK5">
        <f t="shared" si="6"/>
        <v>465</v>
      </c>
      <c r="AL5">
        <f t="shared" si="6"/>
        <v>474</v>
      </c>
      <c r="AM5">
        <f t="shared" si="6"/>
        <v>483</v>
      </c>
      <c r="AN5">
        <f t="shared" si="6"/>
        <v>492</v>
      </c>
      <c r="AO5">
        <f t="shared" si="6"/>
        <v>501</v>
      </c>
      <c r="AP5">
        <f t="shared" si="6"/>
        <v>510</v>
      </c>
      <c r="AQ5" s="14">
        <v>519</v>
      </c>
      <c r="AR5">
        <f t="shared" ref="AR5:BD5" si="7">$B5+9*AR1</f>
        <v>528</v>
      </c>
      <c r="AS5">
        <f t="shared" si="7"/>
        <v>537</v>
      </c>
      <c r="AT5">
        <f t="shared" si="7"/>
        <v>546</v>
      </c>
      <c r="AU5">
        <f t="shared" si="7"/>
        <v>555</v>
      </c>
      <c r="AV5">
        <f t="shared" si="7"/>
        <v>564</v>
      </c>
      <c r="AW5">
        <f t="shared" si="7"/>
        <v>573</v>
      </c>
      <c r="AX5">
        <f t="shared" si="7"/>
        <v>582</v>
      </c>
      <c r="AY5">
        <f t="shared" si="7"/>
        <v>591</v>
      </c>
      <c r="AZ5">
        <f t="shared" si="7"/>
        <v>600</v>
      </c>
      <c r="BA5">
        <f t="shared" si="7"/>
        <v>609</v>
      </c>
      <c r="BB5">
        <f t="shared" si="7"/>
        <v>618</v>
      </c>
      <c r="BC5">
        <f t="shared" si="7"/>
        <v>627</v>
      </c>
      <c r="BD5">
        <f t="shared" si="7"/>
        <v>636</v>
      </c>
      <c r="BE5" s="14">
        <v>645</v>
      </c>
      <c r="BF5">
        <f t="shared" ref="BF5:BT5" si="8">$B5+9*BF1</f>
        <v>654</v>
      </c>
      <c r="BG5">
        <f t="shared" si="8"/>
        <v>663</v>
      </c>
      <c r="BH5">
        <f t="shared" si="8"/>
        <v>672</v>
      </c>
      <c r="BI5">
        <f t="shared" si="8"/>
        <v>681</v>
      </c>
      <c r="BJ5">
        <f t="shared" si="8"/>
        <v>690</v>
      </c>
      <c r="BK5">
        <f t="shared" si="8"/>
        <v>699</v>
      </c>
      <c r="BL5">
        <f t="shared" si="8"/>
        <v>708</v>
      </c>
      <c r="BM5">
        <f t="shared" si="8"/>
        <v>717</v>
      </c>
      <c r="BN5">
        <f t="shared" si="8"/>
        <v>726</v>
      </c>
      <c r="BO5">
        <f t="shared" si="8"/>
        <v>735</v>
      </c>
      <c r="BP5">
        <f t="shared" si="8"/>
        <v>744</v>
      </c>
      <c r="BQ5">
        <f t="shared" si="8"/>
        <v>753</v>
      </c>
      <c r="BR5">
        <f t="shared" si="8"/>
        <v>762</v>
      </c>
      <c r="BS5">
        <f t="shared" si="8"/>
        <v>771</v>
      </c>
      <c r="BT5">
        <f t="shared" si="8"/>
        <v>780</v>
      </c>
    </row>
    <row r="6" spans="1:72" x14ac:dyDescent="0.2">
      <c r="A6" t="s">
        <v>146</v>
      </c>
      <c r="B6">
        <v>29.4</v>
      </c>
      <c r="C6" s="6">
        <f t="shared" ref="C6:L6" si="9">ROUNDUP(29.4+4.6*C1,0)</f>
        <v>34</v>
      </c>
      <c r="D6" s="6">
        <f t="shared" si="9"/>
        <v>39</v>
      </c>
      <c r="E6" s="6">
        <f t="shared" si="9"/>
        <v>44</v>
      </c>
      <c r="F6" s="6">
        <f t="shared" si="9"/>
        <v>48</v>
      </c>
      <c r="G6" s="6">
        <f t="shared" si="9"/>
        <v>53</v>
      </c>
      <c r="H6" s="6">
        <f t="shared" si="9"/>
        <v>57</v>
      </c>
      <c r="I6" s="6">
        <f t="shared" si="9"/>
        <v>62</v>
      </c>
      <c r="J6" s="6">
        <f t="shared" si="9"/>
        <v>67</v>
      </c>
      <c r="K6" s="6">
        <f t="shared" si="9"/>
        <v>71</v>
      </c>
      <c r="L6" s="6">
        <f t="shared" si="9"/>
        <v>76</v>
      </c>
      <c r="M6" s="14">
        <v>80</v>
      </c>
      <c r="N6" s="6">
        <f>ROUNDUP(29.4+4.6*N1,0)</f>
        <v>85</v>
      </c>
      <c r="O6" s="6">
        <f>ROUNDUP(29.4+4.6*O1,0)</f>
        <v>90</v>
      </c>
      <c r="P6" s="6">
        <f>ROUNDUP(29.4+4.6*P1,0)</f>
        <v>94</v>
      </c>
      <c r="Q6">
        <v>98</v>
      </c>
      <c r="R6" s="14">
        <v>103</v>
      </c>
      <c r="S6" s="6">
        <f t="shared" ref="S6:AI6" si="10">ROUNDUP(29.4+4.6*S1,0)</f>
        <v>108</v>
      </c>
      <c r="T6" s="6">
        <f t="shared" si="10"/>
        <v>113</v>
      </c>
      <c r="U6" s="6">
        <f t="shared" si="10"/>
        <v>117</v>
      </c>
      <c r="V6" s="6">
        <f t="shared" si="10"/>
        <v>122</v>
      </c>
      <c r="W6" s="6">
        <f t="shared" si="10"/>
        <v>126</v>
      </c>
      <c r="X6" s="6">
        <f t="shared" si="10"/>
        <v>131</v>
      </c>
      <c r="Y6" s="6">
        <f t="shared" si="10"/>
        <v>136</v>
      </c>
      <c r="Z6" s="6">
        <f t="shared" si="10"/>
        <v>140</v>
      </c>
      <c r="AA6" s="6">
        <f t="shared" si="10"/>
        <v>145</v>
      </c>
      <c r="AB6" s="6">
        <f t="shared" si="10"/>
        <v>149</v>
      </c>
      <c r="AC6" s="6">
        <f t="shared" si="10"/>
        <v>154</v>
      </c>
      <c r="AD6" s="6">
        <f t="shared" si="10"/>
        <v>159</v>
      </c>
      <c r="AE6" s="6">
        <f t="shared" si="10"/>
        <v>163</v>
      </c>
      <c r="AF6" s="14">
        <f t="shared" si="10"/>
        <v>168</v>
      </c>
      <c r="AG6" s="6">
        <f t="shared" si="10"/>
        <v>172</v>
      </c>
      <c r="AH6" s="6">
        <f t="shared" si="10"/>
        <v>177</v>
      </c>
      <c r="AI6" s="6">
        <f t="shared" si="10"/>
        <v>182</v>
      </c>
      <c r="AJ6">
        <v>186</v>
      </c>
      <c r="AK6" s="5">
        <v>191</v>
      </c>
      <c r="AL6" s="6">
        <f>ROUNDUP(29.4+4.6*AL1,0)</f>
        <v>195</v>
      </c>
      <c r="AM6">
        <v>200</v>
      </c>
      <c r="AN6">
        <v>205</v>
      </c>
      <c r="AO6" s="6">
        <f>ROUNDUP(29.4+4.6*AO1,0)</f>
        <v>209</v>
      </c>
      <c r="AP6" s="6">
        <f>ROUNDUP(29.4+4.6*AP1,0)</f>
        <v>214</v>
      </c>
      <c r="AQ6" s="6">
        <v>219</v>
      </c>
      <c r="AR6" s="6">
        <v>224</v>
      </c>
      <c r="AS6" s="6">
        <v>229</v>
      </c>
      <c r="AT6" s="6">
        <v>234</v>
      </c>
      <c r="AU6" s="14">
        <v>239</v>
      </c>
      <c r="AV6" s="14">
        <v>243</v>
      </c>
      <c r="AW6" s="14">
        <v>247</v>
      </c>
      <c r="AX6" s="14">
        <v>251</v>
      </c>
      <c r="AY6">
        <v>255</v>
      </c>
      <c r="AZ6" s="6">
        <f t="shared" ref="AZ6:BT6" si="11">ROUNDUP(29.4+4.6*AZ1,0)</f>
        <v>260</v>
      </c>
      <c r="BA6" s="6">
        <f t="shared" si="11"/>
        <v>264</v>
      </c>
      <c r="BB6" s="6">
        <f t="shared" si="11"/>
        <v>269</v>
      </c>
      <c r="BC6" s="6">
        <f t="shared" si="11"/>
        <v>274</v>
      </c>
      <c r="BD6" s="6">
        <f t="shared" si="11"/>
        <v>278</v>
      </c>
      <c r="BE6" s="6">
        <f t="shared" si="11"/>
        <v>283</v>
      </c>
      <c r="BF6" s="6">
        <f t="shared" si="11"/>
        <v>287</v>
      </c>
      <c r="BG6" s="6">
        <f t="shared" si="11"/>
        <v>292</v>
      </c>
      <c r="BH6" s="6">
        <f t="shared" si="11"/>
        <v>297</v>
      </c>
      <c r="BI6" s="6">
        <f t="shared" si="11"/>
        <v>301</v>
      </c>
      <c r="BJ6" s="6">
        <f t="shared" si="11"/>
        <v>306</v>
      </c>
      <c r="BK6" s="6">
        <f t="shared" si="11"/>
        <v>310</v>
      </c>
      <c r="BL6" s="6">
        <f t="shared" si="11"/>
        <v>315</v>
      </c>
      <c r="BM6" s="6">
        <f t="shared" si="11"/>
        <v>320</v>
      </c>
      <c r="BN6" s="6">
        <f t="shared" si="11"/>
        <v>324</v>
      </c>
      <c r="BO6" s="6">
        <f t="shared" si="11"/>
        <v>329</v>
      </c>
      <c r="BP6" s="6">
        <f t="shared" si="11"/>
        <v>333</v>
      </c>
      <c r="BQ6" s="6">
        <f t="shared" si="11"/>
        <v>338</v>
      </c>
      <c r="BR6" s="6">
        <f t="shared" si="11"/>
        <v>343</v>
      </c>
      <c r="BS6" s="6">
        <f t="shared" si="11"/>
        <v>347</v>
      </c>
      <c r="BT6" s="6">
        <f t="shared" si="11"/>
        <v>352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 alignWithMargins="0"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5CA36-E5CC-4DDE-91C5-619774E60345}">
  <dimension ref="A1:BT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V5" sqref="V5"/>
    </sheetView>
  </sheetViews>
  <sheetFormatPr defaultColWidth="11.5" defaultRowHeight="12.9" x14ac:dyDescent="0.2"/>
  <cols>
    <col min="1" max="1" width="19.25" customWidth="1"/>
    <col min="2" max="72" width="6.375" customWidth="1"/>
  </cols>
  <sheetData>
    <row r="1" spans="1:72" x14ac:dyDescent="0.2">
      <c r="B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</row>
    <row r="2" spans="1:72" x14ac:dyDescent="0.2">
      <c r="A2" t="s">
        <v>9</v>
      </c>
      <c r="O2">
        <v>67</v>
      </c>
      <c r="Q2" s="5">
        <v>74</v>
      </c>
      <c r="R2" s="5">
        <v>78</v>
      </c>
      <c r="T2" s="5">
        <v>85</v>
      </c>
      <c r="U2" s="6">
        <v>89</v>
      </c>
      <c r="AR2">
        <v>169</v>
      </c>
      <c r="AU2" s="5">
        <v>180</v>
      </c>
      <c r="AV2" s="6">
        <v>184</v>
      </c>
      <c r="AZ2" s="5">
        <v>198</v>
      </c>
      <c r="BB2">
        <v>205</v>
      </c>
    </row>
    <row r="3" spans="1:72" x14ac:dyDescent="0.2">
      <c r="A3" t="s">
        <v>147</v>
      </c>
      <c r="P3">
        <v>201</v>
      </c>
      <c r="Q3" s="6">
        <v>209</v>
      </c>
      <c r="R3">
        <v>217</v>
      </c>
      <c r="S3" s="6">
        <v>225</v>
      </c>
      <c r="T3" s="6">
        <v>232</v>
      </c>
      <c r="U3" s="6">
        <v>240</v>
      </c>
      <c r="V3" s="6">
        <v>247</v>
      </c>
      <c r="W3" s="6">
        <v>254</v>
      </c>
      <c r="X3" s="6">
        <v>262</v>
      </c>
      <c r="Y3" s="6">
        <v>270</v>
      </c>
      <c r="Z3" s="6">
        <v>278</v>
      </c>
      <c r="AA3" s="6">
        <v>285</v>
      </c>
      <c r="AB3" s="6">
        <v>293</v>
      </c>
      <c r="AC3" s="6">
        <v>300</v>
      </c>
      <c r="AD3" s="6">
        <v>307</v>
      </c>
      <c r="AE3" s="6">
        <v>315</v>
      </c>
      <c r="AF3" s="6">
        <v>323</v>
      </c>
      <c r="AG3" s="6">
        <v>331</v>
      </c>
      <c r="AH3" s="6">
        <v>338</v>
      </c>
      <c r="AI3" s="6">
        <v>346</v>
      </c>
      <c r="AJ3" s="6">
        <v>353</v>
      </c>
      <c r="AK3" s="6">
        <v>360</v>
      </c>
      <c r="AL3" s="6">
        <v>368</v>
      </c>
      <c r="AM3" s="6">
        <v>376</v>
      </c>
      <c r="AN3" s="6">
        <v>384</v>
      </c>
      <c r="AO3" s="6">
        <v>391</v>
      </c>
      <c r="AP3" s="6">
        <v>399</v>
      </c>
      <c r="AQ3" s="6">
        <v>406</v>
      </c>
      <c r="AR3">
        <v>414</v>
      </c>
      <c r="AS3" s="6">
        <v>422</v>
      </c>
      <c r="AT3" s="6">
        <v>429</v>
      </c>
      <c r="AU3">
        <v>437</v>
      </c>
      <c r="AV3">
        <v>444</v>
      </c>
      <c r="AW3" s="6">
        <v>451</v>
      </c>
      <c r="AX3" s="5">
        <v>459</v>
      </c>
      <c r="AY3" s="6">
        <v>467</v>
      </c>
      <c r="AZ3" s="5">
        <v>475</v>
      </c>
      <c r="BA3" s="6">
        <v>482</v>
      </c>
      <c r="BB3" s="5">
        <v>490</v>
      </c>
      <c r="BC3" s="6">
        <v>497</v>
      </c>
      <c r="BD3" s="6">
        <v>504</v>
      </c>
      <c r="BE3" s="6">
        <v>512</v>
      </c>
      <c r="BF3" s="5">
        <v>520</v>
      </c>
      <c r="BG3" s="5">
        <v>528</v>
      </c>
      <c r="BH3" s="6">
        <v>535</v>
      </c>
      <c r="BJ3" s="6">
        <v>550</v>
      </c>
      <c r="BM3" s="6">
        <v>565</v>
      </c>
    </row>
    <row r="4" spans="1:72" x14ac:dyDescent="0.2">
      <c r="P4">
        <v>402</v>
      </c>
      <c r="AR4">
        <f t="shared" ref="AR4:AZ4" si="0">413.75+7.5*B1</f>
        <v>413.75</v>
      </c>
      <c r="AS4">
        <f t="shared" si="0"/>
        <v>421.25</v>
      </c>
      <c r="AT4">
        <f t="shared" si="0"/>
        <v>428.75</v>
      </c>
      <c r="AU4">
        <f t="shared" si="0"/>
        <v>436.25</v>
      </c>
      <c r="AV4">
        <f t="shared" si="0"/>
        <v>443.75</v>
      </c>
      <c r="AW4">
        <f t="shared" si="0"/>
        <v>451.25</v>
      </c>
      <c r="AX4">
        <f t="shared" si="0"/>
        <v>458.75</v>
      </c>
      <c r="AY4">
        <f t="shared" si="0"/>
        <v>466.25</v>
      </c>
      <c r="AZ4">
        <f t="shared" si="0"/>
        <v>473.75</v>
      </c>
      <c r="BA4">
        <f t="shared" ref="BA4:BG4" si="1">414.25+7.5*K1</f>
        <v>481.75</v>
      </c>
      <c r="BB4">
        <f t="shared" si="1"/>
        <v>489.25</v>
      </c>
      <c r="BC4">
        <f t="shared" si="1"/>
        <v>496.75</v>
      </c>
      <c r="BD4">
        <f t="shared" si="1"/>
        <v>504.25</v>
      </c>
      <c r="BE4">
        <f t="shared" si="1"/>
        <v>511.75</v>
      </c>
      <c r="BF4">
        <f t="shared" si="1"/>
        <v>519.25</v>
      </c>
      <c r="BG4">
        <f t="shared" si="1"/>
        <v>526.75</v>
      </c>
    </row>
    <row r="5" spans="1:72" x14ac:dyDescent="0.2">
      <c r="A5" t="s">
        <v>148</v>
      </c>
      <c r="L5" s="6">
        <v>57</v>
      </c>
      <c r="T5" s="6">
        <v>87</v>
      </c>
      <c r="U5" s="6">
        <v>91</v>
      </c>
      <c r="V5" s="6">
        <v>95</v>
      </c>
      <c r="W5" s="6">
        <v>99</v>
      </c>
      <c r="X5" s="6">
        <v>103</v>
      </c>
      <c r="Y5" s="6">
        <v>107</v>
      </c>
      <c r="Z5" s="6">
        <v>110</v>
      </c>
      <c r="AA5" s="6">
        <v>114</v>
      </c>
      <c r="AB5" s="6">
        <v>117</v>
      </c>
      <c r="AC5" s="6">
        <v>121</v>
      </c>
      <c r="AD5" s="6">
        <v>125</v>
      </c>
      <c r="AE5" s="6">
        <v>129</v>
      </c>
      <c r="AF5" s="6">
        <v>133</v>
      </c>
      <c r="AG5">
        <v>136</v>
      </c>
      <c r="AN5">
        <v>162</v>
      </c>
      <c r="AO5" s="6">
        <v>166</v>
      </c>
      <c r="AP5" s="6">
        <v>170</v>
      </c>
      <c r="AQ5" s="6">
        <v>173</v>
      </c>
      <c r="AR5" s="6">
        <v>177</v>
      </c>
      <c r="AS5" s="6">
        <v>181</v>
      </c>
      <c r="AT5" s="6">
        <v>185</v>
      </c>
      <c r="AU5">
        <v>188</v>
      </c>
      <c r="AZ5" s="5">
        <v>207</v>
      </c>
      <c r="BB5" s="5">
        <v>214</v>
      </c>
    </row>
    <row r="6" spans="1:72" x14ac:dyDescent="0.2">
      <c r="A6" t="s">
        <v>149</v>
      </c>
      <c r="BG6">
        <v>329</v>
      </c>
    </row>
    <row r="7" spans="1:72" x14ac:dyDescent="0.2">
      <c r="A7" t="s">
        <v>150</v>
      </c>
      <c r="BF7" s="5">
        <v>400</v>
      </c>
      <c r="BG7" s="5">
        <v>406</v>
      </c>
      <c r="BH7" s="6">
        <v>411</v>
      </c>
      <c r="BI7" s="6">
        <v>416</v>
      </c>
      <c r="BJ7" s="5">
        <v>421</v>
      </c>
    </row>
    <row r="8" spans="1:72" x14ac:dyDescent="0.2">
      <c r="A8" t="s">
        <v>151</v>
      </c>
      <c r="AZ8">
        <v>246</v>
      </c>
      <c r="BB8" s="6">
        <v>252</v>
      </c>
      <c r="BF8">
        <v>265</v>
      </c>
      <c r="BJ8">
        <v>756</v>
      </c>
    </row>
    <row r="9" spans="1:72" x14ac:dyDescent="0.2">
      <c r="A9" t="s">
        <v>58</v>
      </c>
      <c r="BA9" t="s">
        <v>59</v>
      </c>
      <c r="BB9">
        <v>369</v>
      </c>
      <c r="BC9">
        <v>374</v>
      </c>
      <c r="BG9">
        <v>393</v>
      </c>
    </row>
    <row r="10" spans="1:72" x14ac:dyDescent="0.2">
      <c r="A10" t="s">
        <v>152</v>
      </c>
      <c r="BE10">
        <v>5472</v>
      </c>
      <c r="BJ10">
        <v>6080</v>
      </c>
    </row>
    <row r="11" spans="1:72" x14ac:dyDescent="0.2">
      <c r="A11" t="s">
        <v>153</v>
      </c>
      <c r="L11">
        <v>210</v>
      </c>
      <c r="AU11">
        <v>420</v>
      </c>
    </row>
    <row r="13" spans="1:72" x14ac:dyDescent="0.2">
      <c r="A13" t="s">
        <v>154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 alignWithMargins="0">
    <oddHeader>&amp;C&amp;A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CF077-B1BD-49B8-9A09-63F964507F62}">
  <dimension ref="A1:BT140"/>
  <sheetViews>
    <sheetView workbookViewId="0">
      <pane xSplit="1" ySplit="1" topLeftCell="BB5" activePane="bottomRight" state="frozen"/>
      <selection pane="topRight" activeCell="BB1" sqref="BB1"/>
      <selection pane="bottomLeft" activeCell="A5" sqref="A5"/>
      <selection pane="bottomRight" activeCell="BT54" sqref="BT54"/>
    </sheetView>
  </sheetViews>
  <sheetFormatPr defaultColWidth="11.5" defaultRowHeight="12.9" x14ac:dyDescent="0.2"/>
  <cols>
    <col min="1" max="1" width="28.75" customWidth="1"/>
    <col min="2" max="72" width="6.375" customWidth="1"/>
  </cols>
  <sheetData>
    <row r="1" spans="1:72" x14ac:dyDescent="0.2"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</row>
    <row r="2" spans="1:72" x14ac:dyDescent="0.2">
      <c r="A2" t="s">
        <v>14</v>
      </c>
      <c r="B2">
        <v>2000</v>
      </c>
      <c r="C2">
        <f t="shared" ref="C2:AH2" si="0">$B2+80*C1</f>
        <v>2080</v>
      </c>
      <c r="D2">
        <f t="shared" si="0"/>
        <v>2160</v>
      </c>
      <c r="E2">
        <f t="shared" si="0"/>
        <v>2240</v>
      </c>
      <c r="F2">
        <f t="shared" si="0"/>
        <v>2320</v>
      </c>
      <c r="G2">
        <f t="shared" si="0"/>
        <v>2400</v>
      </c>
      <c r="H2">
        <f t="shared" si="0"/>
        <v>2480</v>
      </c>
      <c r="I2">
        <f t="shared" si="0"/>
        <v>2560</v>
      </c>
      <c r="J2">
        <f t="shared" si="0"/>
        <v>2640</v>
      </c>
      <c r="K2">
        <f t="shared" si="0"/>
        <v>2720</v>
      </c>
      <c r="L2">
        <f t="shared" si="0"/>
        <v>2800</v>
      </c>
      <c r="M2">
        <f t="shared" si="0"/>
        <v>2880</v>
      </c>
      <c r="N2">
        <f t="shared" si="0"/>
        <v>2960</v>
      </c>
      <c r="O2">
        <f t="shared" si="0"/>
        <v>3040</v>
      </c>
      <c r="P2">
        <f t="shared" si="0"/>
        <v>3120</v>
      </c>
      <c r="Q2">
        <f t="shared" si="0"/>
        <v>3200</v>
      </c>
      <c r="R2">
        <f t="shared" si="0"/>
        <v>3280</v>
      </c>
      <c r="S2">
        <f t="shared" si="0"/>
        <v>3360</v>
      </c>
      <c r="T2">
        <f t="shared" si="0"/>
        <v>3440</v>
      </c>
      <c r="U2">
        <f t="shared" si="0"/>
        <v>3520</v>
      </c>
      <c r="V2">
        <f t="shared" si="0"/>
        <v>3600</v>
      </c>
      <c r="W2">
        <f t="shared" si="0"/>
        <v>3680</v>
      </c>
      <c r="X2">
        <f t="shared" si="0"/>
        <v>3760</v>
      </c>
      <c r="Y2">
        <f t="shared" si="0"/>
        <v>3840</v>
      </c>
      <c r="Z2">
        <f t="shared" si="0"/>
        <v>3920</v>
      </c>
      <c r="AA2">
        <f t="shared" si="0"/>
        <v>4000</v>
      </c>
      <c r="AB2">
        <f t="shared" si="0"/>
        <v>4080</v>
      </c>
      <c r="AC2">
        <f t="shared" si="0"/>
        <v>4160</v>
      </c>
      <c r="AD2">
        <f t="shared" si="0"/>
        <v>4240</v>
      </c>
      <c r="AE2">
        <f t="shared" si="0"/>
        <v>4320</v>
      </c>
      <c r="AF2">
        <f t="shared" si="0"/>
        <v>4400</v>
      </c>
      <c r="AG2">
        <f t="shared" si="0"/>
        <v>4480</v>
      </c>
      <c r="AH2">
        <f t="shared" si="0"/>
        <v>4560</v>
      </c>
      <c r="AI2">
        <f t="shared" ref="AI2:BN2" si="1">$B2+80*AI1</f>
        <v>4640</v>
      </c>
      <c r="AJ2">
        <f t="shared" si="1"/>
        <v>4720</v>
      </c>
      <c r="AK2">
        <f t="shared" si="1"/>
        <v>4800</v>
      </c>
      <c r="AL2">
        <f t="shared" si="1"/>
        <v>4880</v>
      </c>
      <c r="AM2">
        <f t="shared" si="1"/>
        <v>4960</v>
      </c>
      <c r="AN2">
        <f t="shared" si="1"/>
        <v>5040</v>
      </c>
      <c r="AO2">
        <f t="shared" si="1"/>
        <v>5120</v>
      </c>
      <c r="AP2">
        <f t="shared" si="1"/>
        <v>5200</v>
      </c>
      <c r="AQ2">
        <f t="shared" si="1"/>
        <v>5280</v>
      </c>
      <c r="AR2">
        <f t="shared" si="1"/>
        <v>5360</v>
      </c>
      <c r="AS2">
        <f t="shared" si="1"/>
        <v>5440</v>
      </c>
      <c r="AT2">
        <f t="shared" si="1"/>
        <v>5520</v>
      </c>
      <c r="AU2">
        <f t="shared" si="1"/>
        <v>5600</v>
      </c>
      <c r="AV2">
        <f t="shared" si="1"/>
        <v>5680</v>
      </c>
      <c r="AW2">
        <f t="shared" si="1"/>
        <v>5760</v>
      </c>
      <c r="AX2">
        <f t="shared" si="1"/>
        <v>5840</v>
      </c>
      <c r="AY2">
        <f t="shared" si="1"/>
        <v>5920</v>
      </c>
      <c r="AZ2">
        <f t="shared" si="1"/>
        <v>6000</v>
      </c>
      <c r="BA2">
        <f t="shared" si="1"/>
        <v>6080</v>
      </c>
      <c r="BB2">
        <f t="shared" si="1"/>
        <v>6160</v>
      </c>
      <c r="BC2">
        <f t="shared" si="1"/>
        <v>6240</v>
      </c>
      <c r="BD2">
        <f t="shared" si="1"/>
        <v>6320</v>
      </c>
      <c r="BE2">
        <f t="shared" si="1"/>
        <v>6400</v>
      </c>
      <c r="BF2">
        <f t="shared" si="1"/>
        <v>6480</v>
      </c>
      <c r="BG2" s="7">
        <f t="shared" si="1"/>
        <v>6560</v>
      </c>
      <c r="BH2">
        <f t="shared" si="1"/>
        <v>6640</v>
      </c>
      <c r="BI2">
        <f t="shared" si="1"/>
        <v>6720</v>
      </c>
      <c r="BJ2">
        <f t="shared" si="1"/>
        <v>6800</v>
      </c>
      <c r="BK2">
        <f t="shared" si="1"/>
        <v>6880</v>
      </c>
      <c r="BL2">
        <f t="shared" si="1"/>
        <v>6960</v>
      </c>
      <c r="BM2">
        <f t="shared" si="1"/>
        <v>7040</v>
      </c>
      <c r="BN2">
        <f t="shared" si="1"/>
        <v>7120</v>
      </c>
      <c r="BO2">
        <f t="shared" ref="BO2:CT2" si="2">$B2+80*BO1</f>
        <v>7200</v>
      </c>
      <c r="BP2">
        <f t="shared" si="2"/>
        <v>7280</v>
      </c>
      <c r="BQ2">
        <f t="shared" si="2"/>
        <v>7360</v>
      </c>
      <c r="BR2" s="7">
        <f t="shared" si="2"/>
        <v>7440</v>
      </c>
      <c r="BS2">
        <f t="shared" si="2"/>
        <v>7520</v>
      </c>
      <c r="BT2">
        <f t="shared" si="2"/>
        <v>7600</v>
      </c>
    </row>
    <row r="3" spans="1:72" x14ac:dyDescent="0.2">
      <c r="BG3" s="7"/>
      <c r="BJ3">
        <v>18915</v>
      </c>
      <c r="BR3" s="7"/>
    </row>
    <row r="4" spans="1:72" x14ac:dyDescent="0.2">
      <c r="A4" t="s">
        <v>155</v>
      </c>
      <c r="B4">
        <v>3000</v>
      </c>
      <c r="C4">
        <f t="shared" ref="C4:AH4" si="3">$B4+120*C1</f>
        <v>3120</v>
      </c>
      <c r="D4">
        <f t="shared" si="3"/>
        <v>3240</v>
      </c>
      <c r="E4">
        <f t="shared" si="3"/>
        <v>3360</v>
      </c>
      <c r="F4">
        <f t="shared" si="3"/>
        <v>3480</v>
      </c>
      <c r="G4">
        <f t="shared" si="3"/>
        <v>3600</v>
      </c>
      <c r="H4">
        <f t="shared" si="3"/>
        <v>3720</v>
      </c>
      <c r="I4">
        <f t="shared" si="3"/>
        <v>3840</v>
      </c>
      <c r="J4">
        <f t="shared" si="3"/>
        <v>3960</v>
      </c>
      <c r="K4">
        <f t="shared" si="3"/>
        <v>4080</v>
      </c>
      <c r="L4">
        <f t="shared" si="3"/>
        <v>4200</v>
      </c>
      <c r="M4">
        <f t="shared" si="3"/>
        <v>4320</v>
      </c>
      <c r="N4">
        <f t="shared" si="3"/>
        <v>4440</v>
      </c>
      <c r="O4">
        <f t="shared" si="3"/>
        <v>4560</v>
      </c>
      <c r="P4">
        <f t="shared" si="3"/>
        <v>4680</v>
      </c>
      <c r="Q4">
        <f t="shared" si="3"/>
        <v>4800</v>
      </c>
      <c r="R4">
        <f t="shared" si="3"/>
        <v>4920</v>
      </c>
      <c r="S4">
        <f t="shared" si="3"/>
        <v>5040</v>
      </c>
      <c r="T4">
        <f t="shared" si="3"/>
        <v>5160</v>
      </c>
      <c r="U4">
        <f t="shared" si="3"/>
        <v>5280</v>
      </c>
      <c r="V4">
        <f t="shared" si="3"/>
        <v>5400</v>
      </c>
      <c r="W4">
        <f t="shared" si="3"/>
        <v>5520</v>
      </c>
      <c r="X4">
        <f t="shared" si="3"/>
        <v>5640</v>
      </c>
      <c r="Y4">
        <f t="shared" si="3"/>
        <v>5760</v>
      </c>
      <c r="Z4">
        <f t="shared" si="3"/>
        <v>5880</v>
      </c>
      <c r="AA4">
        <f t="shared" si="3"/>
        <v>6000</v>
      </c>
      <c r="AB4">
        <f t="shared" si="3"/>
        <v>6120</v>
      </c>
      <c r="AC4">
        <f t="shared" si="3"/>
        <v>6240</v>
      </c>
      <c r="AD4">
        <f t="shared" si="3"/>
        <v>6360</v>
      </c>
      <c r="AE4">
        <f t="shared" si="3"/>
        <v>6480</v>
      </c>
      <c r="AF4">
        <f t="shared" si="3"/>
        <v>6600</v>
      </c>
      <c r="AG4">
        <f t="shared" si="3"/>
        <v>6720</v>
      </c>
      <c r="AH4">
        <f t="shared" si="3"/>
        <v>6840</v>
      </c>
      <c r="AI4">
        <f t="shared" ref="AI4:BN4" si="4">$B4+120*AI1</f>
        <v>6960</v>
      </c>
      <c r="AJ4">
        <f t="shared" si="4"/>
        <v>7080</v>
      </c>
      <c r="AK4">
        <f t="shared" si="4"/>
        <v>7200</v>
      </c>
      <c r="AL4">
        <f t="shared" si="4"/>
        <v>7320</v>
      </c>
      <c r="AM4">
        <f t="shared" si="4"/>
        <v>7440</v>
      </c>
      <c r="AN4">
        <f t="shared" si="4"/>
        <v>7560</v>
      </c>
      <c r="AO4">
        <f t="shared" si="4"/>
        <v>7680</v>
      </c>
      <c r="AP4">
        <f t="shared" si="4"/>
        <v>7800</v>
      </c>
      <c r="AQ4">
        <f t="shared" si="4"/>
        <v>7920</v>
      </c>
      <c r="AR4">
        <f t="shared" si="4"/>
        <v>8040</v>
      </c>
      <c r="AS4">
        <f t="shared" si="4"/>
        <v>8160</v>
      </c>
      <c r="AT4">
        <f t="shared" si="4"/>
        <v>8280</v>
      </c>
      <c r="AU4">
        <f t="shared" si="4"/>
        <v>8400</v>
      </c>
      <c r="AV4">
        <f t="shared" si="4"/>
        <v>8520</v>
      </c>
      <c r="AW4">
        <f t="shared" si="4"/>
        <v>8640</v>
      </c>
      <c r="AX4">
        <f t="shared" si="4"/>
        <v>8760</v>
      </c>
      <c r="AY4">
        <f t="shared" si="4"/>
        <v>8880</v>
      </c>
      <c r="AZ4">
        <f t="shared" si="4"/>
        <v>9000</v>
      </c>
      <c r="BA4">
        <f t="shared" si="4"/>
        <v>9120</v>
      </c>
      <c r="BB4">
        <f t="shared" si="4"/>
        <v>9240</v>
      </c>
      <c r="BC4">
        <f t="shared" si="4"/>
        <v>9360</v>
      </c>
      <c r="BD4">
        <f t="shared" si="4"/>
        <v>9480</v>
      </c>
      <c r="BE4">
        <f t="shared" si="4"/>
        <v>9600</v>
      </c>
      <c r="BF4">
        <f t="shared" si="4"/>
        <v>9720</v>
      </c>
      <c r="BG4">
        <f t="shared" si="4"/>
        <v>9840</v>
      </c>
      <c r="BH4">
        <f t="shared" si="4"/>
        <v>9960</v>
      </c>
      <c r="BI4">
        <f t="shared" si="4"/>
        <v>10080</v>
      </c>
      <c r="BJ4">
        <f t="shared" si="4"/>
        <v>10200</v>
      </c>
      <c r="BK4">
        <f t="shared" si="4"/>
        <v>10320</v>
      </c>
      <c r="BL4">
        <f t="shared" si="4"/>
        <v>10440</v>
      </c>
      <c r="BM4" s="7">
        <f t="shared" si="4"/>
        <v>10560</v>
      </c>
      <c r="BN4">
        <f t="shared" si="4"/>
        <v>10680</v>
      </c>
      <c r="BO4">
        <f t="shared" ref="BO4:BT4" si="5">$B4+120*BO1</f>
        <v>10800</v>
      </c>
      <c r="BP4">
        <f t="shared" si="5"/>
        <v>10920</v>
      </c>
      <c r="BQ4">
        <f t="shared" si="5"/>
        <v>11040</v>
      </c>
      <c r="BR4">
        <f t="shared" si="5"/>
        <v>11160</v>
      </c>
      <c r="BS4">
        <f t="shared" si="5"/>
        <v>11280</v>
      </c>
      <c r="BT4" s="7">
        <f t="shared" si="5"/>
        <v>11400</v>
      </c>
    </row>
    <row r="5" spans="1:72" x14ac:dyDescent="0.2">
      <c r="A5" t="s">
        <v>156</v>
      </c>
      <c r="BM5">
        <v>422</v>
      </c>
      <c r="BT5">
        <v>456</v>
      </c>
    </row>
    <row r="6" spans="1:72" x14ac:dyDescent="0.2">
      <c r="BJ6">
        <v>756</v>
      </c>
    </row>
    <row r="7" spans="1:72" x14ac:dyDescent="0.2">
      <c r="A7" t="s">
        <v>157</v>
      </c>
      <c r="BJ7">
        <v>756</v>
      </c>
    </row>
    <row r="8" spans="1:72" x14ac:dyDescent="0.2">
      <c r="A8" t="s">
        <v>120</v>
      </c>
      <c r="BJ8">
        <v>756</v>
      </c>
    </row>
    <row r="9" spans="1:72" x14ac:dyDescent="0.2">
      <c r="A9" t="s">
        <v>158</v>
      </c>
      <c r="BL9">
        <v>740</v>
      </c>
    </row>
    <row r="10" spans="1:72" x14ac:dyDescent="0.2">
      <c r="A10" t="s">
        <v>159</v>
      </c>
      <c r="BL10">
        <v>808</v>
      </c>
      <c r="BO10">
        <v>540</v>
      </c>
    </row>
    <row r="12" spans="1:72" x14ac:dyDescent="0.2">
      <c r="A12" t="s">
        <v>160</v>
      </c>
      <c r="BM12" s="6">
        <v>775</v>
      </c>
      <c r="BO12">
        <v>792</v>
      </c>
      <c r="BR12">
        <v>814</v>
      </c>
    </row>
    <row r="13" spans="1:72" x14ac:dyDescent="0.2">
      <c r="A13" t="s">
        <v>161</v>
      </c>
      <c r="B13">
        <v>2500</v>
      </c>
      <c r="C13">
        <f t="shared" ref="C13:AH13" si="6">$B13+100*C1</f>
        <v>2600</v>
      </c>
      <c r="D13">
        <f t="shared" si="6"/>
        <v>2700</v>
      </c>
      <c r="E13">
        <f t="shared" si="6"/>
        <v>2800</v>
      </c>
      <c r="F13">
        <f t="shared" si="6"/>
        <v>2900</v>
      </c>
      <c r="G13">
        <f t="shared" si="6"/>
        <v>3000</v>
      </c>
      <c r="H13">
        <f t="shared" si="6"/>
        <v>3100</v>
      </c>
      <c r="I13">
        <f t="shared" si="6"/>
        <v>3200</v>
      </c>
      <c r="J13">
        <f t="shared" si="6"/>
        <v>3300</v>
      </c>
      <c r="K13">
        <f t="shared" si="6"/>
        <v>3400</v>
      </c>
      <c r="L13">
        <f t="shared" si="6"/>
        <v>3500</v>
      </c>
      <c r="M13">
        <f t="shared" si="6"/>
        <v>3600</v>
      </c>
      <c r="N13">
        <f t="shared" si="6"/>
        <v>3700</v>
      </c>
      <c r="O13">
        <f t="shared" si="6"/>
        <v>3800</v>
      </c>
      <c r="P13">
        <f t="shared" si="6"/>
        <v>3900</v>
      </c>
      <c r="Q13">
        <f t="shared" si="6"/>
        <v>4000</v>
      </c>
      <c r="R13">
        <f t="shared" si="6"/>
        <v>4100</v>
      </c>
      <c r="S13">
        <f t="shared" si="6"/>
        <v>4200</v>
      </c>
      <c r="T13">
        <f t="shared" si="6"/>
        <v>4300</v>
      </c>
      <c r="U13">
        <f t="shared" si="6"/>
        <v>4400</v>
      </c>
      <c r="V13">
        <f t="shared" si="6"/>
        <v>4500</v>
      </c>
      <c r="W13">
        <f t="shared" si="6"/>
        <v>4600</v>
      </c>
      <c r="X13">
        <f t="shared" si="6"/>
        <v>4700</v>
      </c>
      <c r="Y13">
        <f t="shared" si="6"/>
        <v>4800</v>
      </c>
      <c r="Z13">
        <f t="shared" si="6"/>
        <v>4900</v>
      </c>
      <c r="AA13">
        <f t="shared" si="6"/>
        <v>5000</v>
      </c>
      <c r="AB13">
        <f t="shared" si="6"/>
        <v>5100</v>
      </c>
      <c r="AC13">
        <f t="shared" si="6"/>
        <v>5200</v>
      </c>
      <c r="AD13">
        <f t="shared" si="6"/>
        <v>5300</v>
      </c>
      <c r="AE13">
        <f t="shared" si="6"/>
        <v>5400</v>
      </c>
      <c r="AF13">
        <f t="shared" si="6"/>
        <v>5500</v>
      </c>
      <c r="AG13">
        <f t="shared" si="6"/>
        <v>5600</v>
      </c>
      <c r="AH13">
        <f t="shared" si="6"/>
        <v>5700</v>
      </c>
      <c r="AI13">
        <f t="shared" ref="AI13:BN13" si="7">$B13+100*AI1</f>
        <v>5800</v>
      </c>
      <c r="AJ13">
        <f t="shared" si="7"/>
        <v>5900</v>
      </c>
      <c r="AK13">
        <f t="shared" si="7"/>
        <v>6000</v>
      </c>
      <c r="AL13">
        <f t="shared" si="7"/>
        <v>6100</v>
      </c>
      <c r="AM13">
        <f t="shared" si="7"/>
        <v>6200</v>
      </c>
      <c r="AN13">
        <f t="shared" si="7"/>
        <v>6300</v>
      </c>
      <c r="AO13">
        <f t="shared" si="7"/>
        <v>6400</v>
      </c>
      <c r="AP13">
        <f t="shared" si="7"/>
        <v>6500</v>
      </c>
      <c r="AQ13">
        <f t="shared" si="7"/>
        <v>6600</v>
      </c>
      <c r="AR13">
        <f t="shared" si="7"/>
        <v>6700</v>
      </c>
      <c r="AS13">
        <f t="shared" si="7"/>
        <v>6800</v>
      </c>
      <c r="AT13">
        <f t="shared" si="7"/>
        <v>6900</v>
      </c>
      <c r="AU13">
        <f t="shared" si="7"/>
        <v>7000</v>
      </c>
      <c r="AV13">
        <f t="shared" si="7"/>
        <v>7100</v>
      </c>
      <c r="AW13">
        <f t="shared" si="7"/>
        <v>7200</v>
      </c>
      <c r="AX13">
        <f t="shared" si="7"/>
        <v>7300</v>
      </c>
      <c r="AY13">
        <f t="shared" si="7"/>
        <v>7400</v>
      </c>
      <c r="AZ13">
        <f t="shared" si="7"/>
        <v>7500</v>
      </c>
      <c r="BA13">
        <f t="shared" si="7"/>
        <v>7600</v>
      </c>
      <c r="BB13">
        <f t="shared" si="7"/>
        <v>7700</v>
      </c>
      <c r="BC13">
        <f t="shared" si="7"/>
        <v>7800</v>
      </c>
      <c r="BD13">
        <f t="shared" si="7"/>
        <v>7900</v>
      </c>
      <c r="BE13">
        <f t="shared" si="7"/>
        <v>8000</v>
      </c>
      <c r="BF13">
        <f t="shared" si="7"/>
        <v>8100</v>
      </c>
      <c r="BG13">
        <f t="shared" si="7"/>
        <v>8200</v>
      </c>
      <c r="BH13">
        <f t="shared" si="7"/>
        <v>8300</v>
      </c>
      <c r="BI13">
        <f t="shared" si="7"/>
        <v>8400</v>
      </c>
      <c r="BJ13" s="7">
        <f t="shared" si="7"/>
        <v>8500</v>
      </c>
      <c r="BK13">
        <f t="shared" si="7"/>
        <v>8600</v>
      </c>
      <c r="BL13">
        <f t="shared" si="7"/>
        <v>8700</v>
      </c>
      <c r="BM13" s="7">
        <f t="shared" si="7"/>
        <v>8800</v>
      </c>
      <c r="BN13">
        <f t="shared" si="7"/>
        <v>8900</v>
      </c>
      <c r="BO13">
        <f t="shared" ref="BO13:BT13" si="8">$B13+100*BO1</f>
        <v>9000</v>
      </c>
      <c r="BP13">
        <f t="shared" si="8"/>
        <v>9100</v>
      </c>
      <c r="BQ13">
        <f t="shared" si="8"/>
        <v>9200</v>
      </c>
      <c r="BR13">
        <f t="shared" si="8"/>
        <v>9300</v>
      </c>
      <c r="BS13">
        <f t="shared" si="8"/>
        <v>9400</v>
      </c>
      <c r="BT13">
        <f t="shared" si="8"/>
        <v>9500</v>
      </c>
    </row>
    <row r="14" spans="1:72" x14ac:dyDescent="0.2">
      <c r="A14" t="s">
        <v>162</v>
      </c>
      <c r="BJ14">
        <v>340</v>
      </c>
    </row>
    <row r="15" spans="1:72" x14ac:dyDescent="0.2">
      <c r="A15" t="s">
        <v>163</v>
      </c>
      <c r="BJ15">
        <v>756</v>
      </c>
    </row>
    <row r="16" spans="1:72" x14ac:dyDescent="0.2">
      <c r="BM16">
        <v>352</v>
      </c>
    </row>
    <row r="17" spans="1:72" x14ac:dyDescent="0.2">
      <c r="A17" t="s">
        <v>164</v>
      </c>
      <c r="BO17">
        <v>788</v>
      </c>
    </row>
    <row r="18" spans="1:72" x14ac:dyDescent="0.2">
      <c r="A18" t="s">
        <v>165</v>
      </c>
      <c r="BO18">
        <v>720</v>
      </c>
    </row>
    <row r="19" spans="1:72" x14ac:dyDescent="0.2">
      <c r="A19" t="s">
        <v>18</v>
      </c>
      <c r="BJ19">
        <v>756</v>
      </c>
    </row>
    <row r="20" spans="1:72" x14ac:dyDescent="0.2">
      <c r="A20" t="s">
        <v>11</v>
      </c>
      <c r="BJ20">
        <v>3783</v>
      </c>
    </row>
    <row r="21" spans="1:72" x14ac:dyDescent="0.2">
      <c r="A21" t="s">
        <v>166</v>
      </c>
      <c r="BT21">
        <v>494</v>
      </c>
    </row>
    <row r="22" spans="1:72" x14ac:dyDescent="0.2">
      <c r="A22" t="s">
        <v>167</v>
      </c>
      <c r="BO22">
        <v>468</v>
      </c>
    </row>
    <row r="23" spans="1:72" x14ac:dyDescent="0.2">
      <c r="A23" t="s">
        <v>98</v>
      </c>
      <c r="BJ23">
        <v>3783</v>
      </c>
    </row>
    <row r="24" spans="1:72" x14ac:dyDescent="0.2">
      <c r="A24" t="s">
        <v>168</v>
      </c>
      <c r="BJ24">
        <v>756</v>
      </c>
    </row>
    <row r="25" spans="1:72" x14ac:dyDescent="0.2">
      <c r="A25" t="s">
        <v>169</v>
      </c>
      <c r="BJ25">
        <v>756</v>
      </c>
    </row>
    <row r="26" spans="1:72" x14ac:dyDescent="0.2">
      <c r="A26" t="s">
        <v>76</v>
      </c>
      <c r="BJ26">
        <v>756</v>
      </c>
    </row>
    <row r="27" spans="1:72" x14ac:dyDescent="0.2">
      <c r="A27" t="s">
        <v>170</v>
      </c>
      <c r="BJ27">
        <v>756</v>
      </c>
    </row>
    <row r="28" spans="1:72" x14ac:dyDescent="0.2">
      <c r="A28" t="s">
        <v>171</v>
      </c>
      <c r="BJ28">
        <v>756</v>
      </c>
    </row>
    <row r="29" spans="1:72" x14ac:dyDescent="0.2">
      <c r="A29" t="s">
        <v>172</v>
      </c>
      <c r="BJ29">
        <v>756</v>
      </c>
    </row>
    <row r="30" spans="1:72" x14ac:dyDescent="0.2">
      <c r="A30" t="s">
        <v>173</v>
      </c>
      <c r="BJ30">
        <v>756</v>
      </c>
      <c r="BR30">
        <v>788</v>
      </c>
    </row>
    <row r="31" spans="1:72" x14ac:dyDescent="0.2">
      <c r="A31" t="s">
        <v>67</v>
      </c>
      <c r="BJ31">
        <v>4370</v>
      </c>
    </row>
    <row r="32" spans="1:72" x14ac:dyDescent="0.2">
      <c r="A32" t="s">
        <v>174</v>
      </c>
      <c r="BJ32">
        <v>756</v>
      </c>
    </row>
    <row r="33" spans="1:72" x14ac:dyDescent="0.2">
      <c r="A33" t="s">
        <v>175</v>
      </c>
      <c r="BO33">
        <v>52962</v>
      </c>
    </row>
    <row r="34" spans="1:72" x14ac:dyDescent="0.2">
      <c r="A34" t="s">
        <v>176</v>
      </c>
      <c r="BM34">
        <v>422</v>
      </c>
    </row>
    <row r="35" spans="1:72" x14ac:dyDescent="0.2">
      <c r="A35" t="s">
        <v>177</v>
      </c>
      <c r="BM35">
        <v>457</v>
      </c>
    </row>
    <row r="36" spans="1:72" x14ac:dyDescent="0.2">
      <c r="A36" t="s">
        <v>80</v>
      </c>
      <c r="BO36">
        <v>5100</v>
      </c>
    </row>
    <row r="37" spans="1:72" x14ac:dyDescent="0.2">
      <c r="A37" t="s">
        <v>87</v>
      </c>
      <c r="BO37">
        <v>4900</v>
      </c>
    </row>
    <row r="38" spans="1:72" x14ac:dyDescent="0.2">
      <c r="A38" t="s">
        <v>178</v>
      </c>
      <c r="BO38">
        <v>55167</v>
      </c>
    </row>
    <row r="40" spans="1:72" x14ac:dyDescent="0.2">
      <c r="A40" t="s">
        <v>179</v>
      </c>
    </row>
    <row r="41" spans="1:72" x14ac:dyDescent="0.2">
      <c r="A41" t="s">
        <v>180</v>
      </c>
      <c r="BJ41">
        <v>3783</v>
      </c>
      <c r="BM41">
        <v>3908</v>
      </c>
    </row>
    <row r="42" spans="1:72" x14ac:dyDescent="0.2">
      <c r="A42" t="s">
        <v>180</v>
      </c>
      <c r="BR42">
        <v>5925</v>
      </c>
      <c r="BT42">
        <v>6675</v>
      </c>
    </row>
    <row r="43" spans="1:72" x14ac:dyDescent="0.2">
      <c r="A43" t="s">
        <v>181</v>
      </c>
      <c r="BL43">
        <v>516</v>
      </c>
    </row>
    <row r="44" spans="1:72" x14ac:dyDescent="0.2">
      <c r="A44" t="s">
        <v>182</v>
      </c>
      <c r="BL44">
        <v>592</v>
      </c>
    </row>
    <row r="45" spans="1:72" x14ac:dyDescent="0.2">
      <c r="A45" t="s">
        <v>183</v>
      </c>
      <c r="BL45">
        <v>808</v>
      </c>
    </row>
    <row r="46" spans="1:72" x14ac:dyDescent="0.2">
      <c r="A46" t="s">
        <v>184</v>
      </c>
      <c r="BL46">
        <v>876</v>
      </c>
    </row>
    <row r="47" spans="1:72" x14ac:dyDescent="0.2">
      <c r="A47" t="s">
        <v>185</v>
      </c>
      <c r="BM47">
        <v>310</v>
      </c>
    </row>
    <row r="48" spans="1:72" x14ac:dyDescent="0.2">
      <c r="A48" t="s">
        <v>124</v>
      </c>
      <c r="BM48">
        <v>2730</v>
      </c>
    </row>
    <row r="49" spans="1:72" x14ac:dyDescent="0.2">
      <c r="A49" t="s">
        <v>169</v>
      </c>
      <c r="BN49">
        <v>940</v>
      </c>
    </row>
    <row r="50" spans="1:72" x14ac:dyDescent="0.2">
      <c r="A50" t="s">
        <v>186</v>
      </c>
      <c r="BT50">
        <v>9500</v>
      </c>
    </row>
    <row r="51" spans="1:72" x14ac:dyDescent="0.2">
      <c r="BT51">
        <v>1185</v>
      </c>
    </row>
    <row r="52" spans="1:72" x14ac:dyDescent="0.2">
      <c r="BT52">
        <v>1335</v>
      </c>
    </row>
    <row r="53" spans="1:72" x14ac:dyDescent="0.2">
      <c r="BT53">
        <v>1565</v>
      </c>
    </row>
    <row r="54" spans="1:72" x14ac:dyDescent="0.2">
      <c r="BT54">
        <v>5925</v>
      </c>
    </row>
    <row r="55" spans="1:72" x14ac:dyDescent="0.2">
      <c r="BT55">
        <v>10108</v>
      </c>
    </row>
    <row r="80" spans="47:59" x14ac:dyDescent="0.2">
      <c r="AU80" t="s">
        <v>187</v>
      </c>
      <c r="BG80">
        <v>5967</v>
      </c>
    </row>
    <row r="81" spans="12:65" x14ac:dyDescent="0.2">
      <c r="AF81">
        <v>246</v>
      </c>
    </row>
    <row r="82" spans="12:65" x14ac:dyDescent="0.2">
      <c r="BH82">
        <v>9296</v>
      </c>
    </row>
    <row r="83" spans="12:65" x14ac:dyDescent="0.2">
      <c r="BF83" t="s">
        <v>26</v>
      </c>
      <c r="BG83" t="s">
        <v>27</v>
      </c>
      <c r="BH83">
        <v>4249</v>
      </c>
    </row>
    <row r="84" spans="12:65" x14ac:dyDescent="0.2">
      <c r="BH84">
        <v>8831</v>
      </c>
    </row>
    <row r="85" spans="12:65" x14ac:dyDescent="0.2">
      <c r="BJ85">
        <v>9860</v>
      </c>
      <c r="BM85">
        <v>10208</v>
      </c>
    </row>
    <row r="86" spans="12:65" x14ac:dyDescent="0.2">
      <c r="BG86" t="s">
        <v>31</v>
      </c>
      <c r="BM86">
        <v>775</v>
      </c>
    </row>
    <row r="87" spans="12:65" x14ac:dyDescent="0.2">
      <c r="BG87" t="s">
        <v>33</v>
      </c>
      <c r="BJ87">
        <v>3783</v>
      </c>
      <c r="BM87">
        <v>5632</v>
      </c>
    </row>
    <row r="88" spans="12:65" x14ac:dyDescent="0.2">
      <c r="BM88">
        <v>1408</v>
      </c>
    </row>
    <row r="89" spans="12:65" x14ac:dyDescent="0.2">
      <c r="AD89">
        <v>126</v>
      </c>
      <c r="AE89">
        <v>129</v>
      </c>
      <c r="AF89">
        <v>133</v>
      </c>
      <c r="AR89">
        <v>177</v>
      </c>
    </row>
    <row r="90" spans="12:65" x14ac:dyDescent="0.2">
      <c r="AF90">
        <v>133</v>
      </c>
      <c r="AK90">
        <v>151</v>
      </c>
    </row>
    <row r="91" spans="12:65" x14ac:dyDescent="0.2">
      <c r="AK91">
        <v>171</v>
      </c>
    </row>
    <row r="92" spans="12:65" x14ac:dyDescent="0.2">
      <c r="W92">
        <v>87</v>
      </c>
      <c r="AE92">
        <v>112</v>
      </c>
      <c r="AQ92">
        <v>151</v>
      </c>
      <c r="AR92">
        <v>154</v>
      </c>
      <c r="AS92">
        <v>157</v>
      </c>
    </row>
    <row r="93" spans="12:65" x14ac:dyDescent="0.2">
      <c r="AD93">
        <v>140</v>
      </c>
      <c r="AE93">
        <v>144</v>
      </c>
      <c r="AF93">
        <v>148</v>
      </c>
      <c r="AK93">
        <v>201</v>
      </c>
      <c r="BB93">
        <v>229</v>
      </c>
    </row>
    <row r="94" spans="12:65" x14ac:dyDescent="0.2">
      <c r="AH94">
        <v>189</v>
      </c>
    </row>
    <row r="95" spans="12:65" x14ac:dyDescent="0.2">
      <c r="L95">
        <v>88</v>
      </c>
      <c r="AE95">
        <v>117</v>
      </c>
      <c r="AN95">
        <v>144</v>
      </c>
      <c r="AU95">
        <v>165</v>
      </c>
      <c r="AY95">
        <v>177</v>
      </c>
    </row>
    <row r="96" spans="12:65" x14ac:dyDescent="0.2">
      <c r="AD96">
        <v>121</v>
      </c>
      <c r="AF96">
        <v>128</v>
      </c>
      <c r="AG96" t="s">
        <v>102</v>
      </c>
      <c r="AK96">
        <v>144</v>
      </c>
      <c r="AS96">
        <v>169</v>
      </c>
      <c r="AT96">
        <v>172</v>
      </c>
    </row>
    <row r="97" spans="3:72" x14ac:dyDescent="0.2">
      <c r="AF97">
        <v>3080</v>
      </c>
      <c r="AN97">
        <v>3528</v>
      </c>
      <c r="BH97">
        <v>1676</v>
      </c>
    </row>
    <row r="98" spans="3:72" x14ac:dyDescent="0.2">
      <c r="C98" t="e">
        <f>#N/A</f>
        <v>#N/A</v>
      </c>
      <c r="D98" t="e">
        <f>#N/A</f>
        <v>#N/A</v>
      </c>
      <c r="E98" t="e">
        <f>#N/A</f>
        <v>#N/A</v>
      </c>
      <c r="F98" t="e">
        <f>#N/A</f>
        <v>#N/A</v>
      </c>
      <c r="G98" t="e">
        <f>#N/A</f>
        <v>#N/A</v>
      </c>
      <c r="H98" t="e">
        <f>#N/A</f>
        <v>#N/A</v>
      </c>
      <c r="I98" t="e">
        <f>#N/A</f>
        <v>#N/A</v>
      </c>
      <c r="J98" t="e">
        <f>#N/A</f>
        <v>#N/A</v>
      </c>
      <c r="K98" t="e">
        <f>#N/A</f>
        <v>#N/A</v>
      </c>
      <c r="L98" t="e">
        <f>#N/A</f>
        <v>#N/A</v>
      </c>
      <c r="M98" t="e">
        <f>#N/A</f>
        <v>#N/A</v>
      </c>
      <c r="N98" t="e">
        <f>#N/A</f>
        <v>#N/A</v>
      </c>
      <c r="O98" t="e">
        <f>#N/A</f>
        <v>#N/A</v>
      </c>
      <c r="P98" t="e">
        <f>#N/A</f>
        <v>#N/A</v>
      </c>
      <c r="Q98" t="e">
        <f>#N/A</f>
        <v>#N/A</v>
      </c>
      <c r="R98" t="e">
        <f>#N/A</f>
        <v>#N/A</v>
      </c>
      <c r="S98" t="e">
        <f>#N/A</f>
        <v>#N/A</v>
      </c>
      <c r="T98" t="e">
        <f>#N/A</f>
        <v>#N/A</v>
      </c>
      <c r="U98" t="e">
        <f>#N/A</f>
        <v>#N/A</v>
      </c>
      <c r="V98" t="e">
        <f>#N/A</f>
        <v>#N/A</v>
      </c>
      <c r="W98" t="e">
        <f>#N/A</f>
        <v>#N/A</v>
      </c>
      <c r="X98" t="e">
        <f>#N/A</f>
        <v>#N/A</v>
      </c>
      <c r="Y98" t="e">
        <f>#N/A</f>
        <v>#N/A</v>
      </c>
      <c r="Z98" t="e">
        <f>#N/A</f>
        <v>#N/A</v>
      </c>
      <c r="AA98" t="e">
        <f>#N/A</f>
        <v>#N/A</v>
      </c>
      <c r="AB98" t="e">
        <f>#N/A</f>
        <v>#N/A</v>
      </c>
      <c r="AC98" t="e">
        <f>#N/A</f>
        <v>#N/A</v>
      </c>
      <c r="AD98" t="e">
        <f>#N/A</f>
        <v>#N/A</v>
      </c>
      <c r="AE98" t="e">
        <f>#N/A</f>
        <v>#N/A</v>
      </c>
      <c r="AF98" t="e">
        <f>#N/A</f>
        <v>#N/A</v>
      </c>
      <c r="AG98" t="e">
        <f>#N/A</f>
        <v>#N/A</v>
      </c>
      <c r="AH98" t="e">
        <f>#N/A</f>
        <v>#N/A</v>
      </c>
      <c r="AI98" t="e">
        <f>#N/A</f>
        <v>#N/A</v>
      </c>
      <c r="AJ98" t="e">
        <f>#N/A</f>
        <v>#N/A</v>
      </c>
      <c r="AK98" t="e">
        <f>#N/A</f>
        <v>#N/A</v>
      </c>
      <c r="AL98" t="e">
        <f>#N/A</f>
        <v>#N/A</v>
      </c>
      <c r="AM98" t="e">
        <f>#N/A</f>
        <v>#N/A</v>
      </c>
      <c r="AN98" t="e">
        <f>#N/A</f>
        <v>#N/A</v>
      </c>
      <c r="AO98" t="e">
        <f>#N/A</f>
        <v>#N/A</v>
      </c>
      <c r="AP98" t="e">
        <f>#N/A</f>
        <v>#N/A</v>
      </c>
      <c r="AQ98" t="e">
        <f>#N/A</f>
        <v>#N/A</v>
      </c>
      <c r="AR98" t="e">
        <f>#N/A</f>
        <v>#N/A</v>
      </c>
      <c r="AS98" t="e">
        <f>#N/A</f>
        <v>#N/A</v>
      </c>
      <c r="AT98" t="e">
        <f>#N/A</f>
        <v>#N/A</v>
      </c>
      <c r="AU98" t="e">
        <f>#N/A</f>
        <v>#N/A</v>
      </c>
      <c r="AV98" t="e">
        <f>#N/A</f>
        <v>#N/A</v>
      </c>
      <c r="AW98" t="e">
        <f>#N/A</f>
        <v>#N/A</v>
      </c>
      <c r="AX98" t="e">
        <f>#N/A</f>
        <v>#N/A</v>
      </c>
      <c r="AY98" t="e">
        <f>#N/A</f>
        <v>#N/A</v>
      </c>
      <c r="AZ98" t="e">
        <f>#N/A</f>
        <v>#N/A</v>
      </c>
      <c r="BA98" t="e">
        <f>#N/A</f>
        <v>#N/A</v>
      </c>
      <c r="BB98" t="e">
        <f>#N/A</f>
        <v>#N/A</v>
      </c>
      <c r="BC98" t="e">
        <f>#N/A</f>
        <v>#N/A</v>
      </c>
      <c r="BD98" t="e">
        <f>#N/A</f>
        <v>#N/A</v>
      </c>
      <c r="BE98" t="e">
        <f>#N/A</f>
        <v>#N/A</v>
      </c>
      <c r="BF98" t="e">
        <f>#N/A</f>
        <v>#N/A</v>
      </c>
      <c r="BG98" t="e">
        <f>#N/A</f>
        <v>#N/A</v>
      </c>
      <c r="BH98" t="e">
        <f>#N/A</f>
        <v>#N/A</v>
      </c>
      <c r="BI98" t="e">
        <f>#N/A</f>
        <v>#N/A</v>
      </c>
      <c r="BJ98" t="e">
        <f>#N/A</f>
        <v>#N/A</v>
      </c>
      <c r="BK98" t="e">
        <f>#N/A</f>
        <v>#N/A</v>
      </c>
      <c r="BL98" t="e">
        <f>#N/A</f>
        <v>#N/A</v>
      </c>
      <c r="BM98" t="e">
        <f>#N/A</f>
        <v>#N/A</v>
      </c>
      <c r="BN98" t="e">
        <f>#N/A</f>
        <v>#N/A</v>
      </c>
      <c r="BO98" t="e">
        <f>#N/A</f>
        <v>#N/A</v>
      </c>
      <c r="BP98" t="e">
        <f>#N/A</f>
        <v>#N/A</v>
      </c>
      <c r="BQ98" t="e">
        <f>#N/A</f>
        <v>#N/A</v>
      </c>
      <c r="BR98" t="e">
        <f>#N/A</f>
        <v>#N/A</v>
      </c>
      <c r="BS98" t="e">
        <f>#N/A</f>
        <v>#N/A</v>
      </c>
      <c r="BT98" t="e">
        <f>#N/A</f>
        <v>#N/A</v>
      </c>
    </row>
    <row r="99" spans="3:72" x14ac:dyDescent="0.2">
      <c r="T99" s="8">
        <v>18240</v>
      </c>
    </row>
    <row r="100" spans="3:72" x14ac:dyDescent="0.2">
      <c r="AJ100">
        <v>2278</v>
      </c>
    </row>
    <row r="101" spans="3:72" x14ac:dyDescent="0.2">
      <c r="AF101">
        <v>3000</v>
      </c>
      <c r="AK101" t="s">
        <v>188</v>
      </c>
    </row>
    <row r="102" spans="3:72" x14ac:dyDescent="0.2">
      <c r="BF102">
        <v>3888</v>
      </c>
    </row>
    <row r="103" spans="3:72" x14ac:dyDescent="0.2">
      <c r="BJ103">
        <v>9860</v>
      </c>
    </row>
    <row r="104" spans="3:72" x14ac:dyDescent="0.2">
      <c r="BF104">
        <v>5184</v>
      </c>
      <c r="BG104">
        <v>5248</v>
      </c>
    </row>
    <row r="105" spans="3:72" x14ac:dyDescent="0.2">
      <c r="W105">
        <v>113</v>
      </c>
      <c r="BB105">
        <v>242</v>
      </c>
      <c r="BG105">
        <v>263</v>
      </c>
    </row>
    <row r="106" spans="3:72" x14ac:dyDescent="0.2">
      <c r="C106">
        <v>25</v>
      </c>
      <c r="D106">
        <f t="shared" ref="D106:L106" si="9">25+3.75*(C1)</f>
        <v>28.75</v>
      </c>
      <c r="E106">
        <f t="shared" si="9"/>
        <v>32.5</v>
      </c>
      <c r="F106">
        <f t="shared" si="9"/>
        <v>36.25</v>
      </c>
      <c r="G106">
        <f t="shared" si="9"/>
        <v>40</v>
      </c>
      <c r="H106">
        <f t="shared" si="9"/>
        <v>43.75</v>
      </c>
      <c r="I106">
        <f t="shared" si="9"/>
        <v>47.5</v>
      </c>
      <c r="J106">
        <f t="shared" si="9"/>
        <v>51.25</v>
      </c>
      <c r="K106">
        <f t="shared" si="9"/>
        <v>55</v>
      </c>
      <c r="L106">
        <f t="shared" si="9"/>
        <v>58.75</v>
      </c>
      <c r="BF106">
        <v>245</v>
      </c>
      <c r="BT106" t="s">
        <v>189</v>
      </c>
    </row>
    <row r="107" spans="3:72" x14ac:dyDescent="0.2">
      <c r="C107" t="e">
        <f>#N/A</f>
        <v>#N/A</v>
      </c>
      <c r="D107" t="e">
        <f>#N/A</f>
        <v>#N/A</v>
      </c>
      <c r="E107" t="e">
        <f>#N/A</f>
        <v>#N/A</v>
      </c>
      <c r="F107" t="e">
        <f>#N/A</f>
        <v>#N/A</v>
      </c>
      <c r="G107" t="e">
        <f>#N/A</f>
        <v>#N/A</v>
      </c>
      <c r="H107" t="e">
        <f>#N/A</f>
        <v>#N/A</v>
      </c>
      <c r="I107" t="e">
        <f>#N/A</f>
        <v>#N/A</v>
      </c>
      <c r="J107" t="e">
        <f>#N/A</f>
        <v>#N/A</v>
      </c>
      <c r="K107" t="e">
        <f>#N/A</f>
        <v>#N/A</v>
      </c>
      <c r="L107" t="e">
        <f>#N/A</f>
        <v>#N/A</v>
      </c>
      <c r="M107" t="e">
        <f>#N/A</f>
        <v>#N/A</v>
      </c>
      <c r="N107" t="e">
        <f>#N/A</f>
        <v>#N/A</v>
      </c>
      <c r="O107" t="e">
        <f>#N/A</f>
        <v>#N/A</v>
      </c>
      <c r="P107" t="e">
        <f>#N/A</f>
        <v>#N/A</v>
      </c>
      <c r="Q107" t="e">
        <f>#N/A</f>
        <v>#N/A</v>
      </c>
      <c r="R107" t="e">
        <f>#N/A</f>
        <v>#N/A</v>
      </c>
      <c r="S107" t="e">
        <f>#N/A</f>
        <v>#N/A</v>
      </c>
      <c r="T107" t="e">
        <f>#N/A</f>
        <v>#N/A</v>
      </c>
      <c r="U107" t="e">
        <f>#N/A</f>
        <v>#N/A</v>
      </c>
      <c r="V107" t="e">
        <f>#N/A</f>
        <v>#N/A</v>
      </c>
      <c r="W107" t="e">
        <f>#N/A</f>
        <v>#N/A</v>
      </c>
      <c r="X107" t="e">
        <f>#N/A</f>
        <v>#N/A</v>
      </c>
      <c r="Y107" t="e">
        <f>#N/A</f>
        <v>#N/A</v>
      </c>
      <c r="Z107" t="e">
        <f>#N/A</f>
        <v>#N/A</v>
      </c>
      <c r="AA107" t="e">
        <f>#N/A</f>
        <v>#N/A</v>
      </c>
      <c r="AB107" t="e">
        <f>#N/A</f>
        <v>#N/A</v>
      </c>
      <c r="AC107" t="e">
        <f>#N/A</f>
        <v>#N/A</v>
      </c>
      <c r="AD107" t="e">
        <f>#N/A</f>
        <v>#N/A</v>
      </c>
      <c r="AE107" t="e">
        <f>#N/A</f>
        <v>#N/A</v>
      </c>
      <c r="AF107" t="e">
        <f>#N/A</f>
        <v>#N/A</v>
      </c>
      <c r="AG107" t="e">
        <f>#N/A</f>
        <v>#N/A</v>
      </c>
      <c r="AH107" t="e">
        <f>#N/A</f>
        <v>#N/A</v>
      </c>
      <c r="AI107" t="e">
        <f>#N/A</f>
        <v>#N/A</v>
      </c>
      <c r="AJ107" t="e">
        <f>#N/A</f>
        <v>#N/A</v>
      </c>
      <c r="AK107" t="e">
        <f>#N/A</f>
        <v>#N/A</v>
      </c>
      <c r="AL107" t="e">
        <f>#N/A</f>
        <v>#N/A</v>
      </c>
      <c r="AM107" t="e">
        <f>#N/A</f>
        <v>#N/A</v>
      </c>
      <c r="AN107" t="e">
        <f>#N/A</f>
        <v>#N/A</v>
      </c>
      <c r="AO107" t="e">
        <f>#N/A</f>
        <v>#N/A</v>
      </c>
      <c r="AP107" t="e">
        <f>#N/A</f>
        <v>#N/A</v>
      </c>
      <c r="AQ107" t="e">
        <f>#N/A</f>
        <v>#N/A</v>
      </c>
      <c r="AR107" t="e">
        <f>#N/A</f>
        <v>#N/A</v>
      </c>
      <c r="AS107" t="e">
        <f>#N/A</f>
        <v>#N/A</v>
      </c>
      <c r="AT107" t="e">
        <f>#N/A</f>
        <v>#N/A</v>
      </c>
      <c r="AU107" t="e">
        <f>#N/A</f>
        <v>#N/A</v>
      </c>
      <c r="AV107" t="e">
        <f>#N/A</f>
        <v>#N/A</v>
      </c>
      <c r="AW107" t="e">
        <f>#N/A</f>
        <v>#N/A</v>
      </c>
      <c r="AX107" t="e">
        <f>#N/A</f>
        <v>#N/A</v>
      </c>
      <c r="AY107" t="e">
        <f>#N/A</f>
        <v>#N/A</v>
      </c>
      <c r="AZ107" t="e">
        <f>#N/A</f>
        <v>#N/A</v>
      </c>
      <c r="BA107" t="e">
        <f>#N/A</f>
        <v>#N/A</v>
      </c>
      <c r="BB107" t="e">
        <f>#N/A</f>
        <v>#N/A</v>
      </c>
      <c r="BC107" t="e">
        <f>#N/A</f>
        <v>#N/A</v>
      </c>
      <c r="BD107" t="e">
        <f>#N/A</f>
        <v>#N/A</v>
      </c>
      <c r="BE107" t="e">
        <f>#N/A</f>
        <v>#N/A</v>
      </c>
      <c r="BF107" t="e">
        <f>#N/A</f>
        <v>#N/A</v>
      </c>
    </row>
    <row r="108" spans="3:72" x14ac:dyDescent="0.2">
      <c r="C108" t="e">
        <f>#N/A</f>
        <v>#N/A</v>
      </c>
      <c r="D108" t="e">
        <f>#N/A</f>
        <v>#N/A</v>
      </c>
      <c r="E108" t="e">
        <f>#N/A</f>
        <v>#N/A</v>
      </c>
      <c r="F108" t="e">
        <f>#N/A</f>
        <v>#N/A</v>
      </c>
      <c r="G108" t="e">
        <f>#N/A</f>
        <v>#N/A</v>
      </c>
      <c r="H108" t="e">
        <f>#N/A</f>
        <v>#N/A</v>
      </c>
      <c r="I108" t="e">
        <f>#N/A</f>
        <v>#N/A</v>
      </c>
      <c r="J108" t="e">
        <f>#N/A</f>
        <v>#N/A</v>
      </c>
      <c r="K108" t="e">
        <f>#N/A</f>
        <v>#N/A</v>
      </c>
      <c r="L108" t="e">
        <f>#N/A</f>
        <v>#N/A</v>
      </c>
      <c r="M108" t="e">
        <f>#N/A</f>
        <v>#N/A</v>
      </c>
      <c r="N108" t="e">
        <f>#N/A</f>
        <v>#N/A</v>
      </c>
      <c r="O108" t="e">
        <f>#N/A</f>
        <v>#N/A</v>
      </c>
      <c r="P108" t="e">
        <f>#N/A</f>
        <v>#N/A</v>
      </c>
      <c r="Q108" t="e">
        <f>#N/A</f>
        <v>#N/A</v>
      </c>
      <c r="R108" t="e">
        <f>#N/A</f>
        <v>#N/A</v>
      </c>
      <c r="S108" t="e">
        <f>#N/A</f>
        <v>#N/A</v>
      </c>
      <c r="T108" t="e">
        <f>#N/A</f>
        <v>#N/A</v>
      </c>
      <c r="U108" t="e">
        <f>#N/A</f>
        <v>#N/A</v>
      </c>
      <c r="V108" t="e">
        <f>#N/A</f>
        <v>#N/A</v>
      </c>
      <c r="W108" t="e">
        <f>#N/A</f>
        <v>#N/A</v>
      </c>
      <c r="X108" t="e">
        <f>#N/A</f>
        <v>#N/A</v>
      </c>
      <c r="Y108" t="e">
        <f>#N/A</f>
        <v>#N/A</v>
      </c>
      <c r="Z108" t="e">
        <f>#N/A</f>
        <v>#N/A</v>
      </c>
      <c r="AA108" t="e">
        <f>#N/A</f>
        <v>#N/A</v>
      </c>
      <c r="AB108" t="e">
        <f>#N/A</f>
        <v>#N/A</v>
      </c>
      <c r="AC108" t="e">
        <f>#N/A</f>
        <v>#N/A</v>
      </c>
      <c r="AD108" t="e">
        <f>#N/A</f>
        <v>#N/A</v>
      </c>
      <c r="AE108" t="e">
        <f>#N/A</f>
        <v>#N/A</v>
      </c>
      <c r="AF108" t="e">
        <f>#N/A</f>
        <v>#N/A</v>
      </c>
      <c r="AG108" t="e">
        <f>#N/A</f>
        <v>#N/A</v>
      </c>
      <c r="AH108" t="e">
        <f>#N/A</f>
        <v>#N/A</v>
      </c>
      <c r="AI108" t="e">
        <f>#N/A</f>
        <v>#N/A</v>
      </c>
      <c r="AJ108" t="e">
        <f>#N/A</f>
        <v>#N/A</v>
      </c>
      <c r="AK108" t="e">
        <f>#N/A</f>
        <v>#N/A</v>
      </c>
      <c r="AL108" t="e">
        <f>#N/A</f>
        <v>#N/A</v>
      </c>
      <c r="AM108" t="e">
        <f>#N/A</f>
        <v>#N/A</v>
      </c>
      <c r="AN108" t="e">
        <f>#N/A</f>
        <v>#N/A</v>
      </c>
      <c r="AO108" t="e">
        <f>#N/A</f>
        <v>#N/A</v>
      </c>
      <c r="AP108" t="e">
        <f>#N/A</f>
        <v>#N/A</v>
      </c>
      <c r="AQ108" t="e">
        <f>#N/A</f>
        <v>#N/A</v>
      </c>
      <c r="AR108" t="e">
        <f>#N/A</f>
        <v>#N/A</v>
      </c>
      <c r="AS108" t="e">
        <f>#N/A</f>
        <v>#N/A</v>
      </c>
      <c r="AT108" t="e">
        <f>#N/A</f>
        <v>#N/A</v>
      </c>
      <c r="AU108" t="e">
        <f>#N/A</f>
        <v>#N/A</v>
      </c>
      <c r="AV108" t="e">
        <f>#N/A</f>
        <v>#N/A</v>
      </c>
      <c r="AW108" t="e">
        <f>#N/A</f>
        <v>#N/A</v>
      </c>
      <c r="AX108" t="e">
        <f>#N/A</f>
        <v>#N/A</v>
      </c>
      <c r="AY108" t="e">
        <f>#N/A</f>
        <v>#N/A</v>
      </c>
      <c r="AZ108" t="e">
        <f>#N/A</f>
        <v>#N/A</v>
      </c>
      <c r="BA108" t="e">
        <f>#N/A</f>
        <v>#N/A</v>
      </c>
      <c r="BB108" t="e">
        <f>#N/A</f>
        <v>#N/A</v>
      </c>
      <c r="BC108" t="e">
        <f>#N/A</f>
        <v>#N/A</v>
      </c>
      <c r="BD108" t="e">
        <f>#N/A</f>
        <v>#N/A</v>
      </c>
      <c r="BE108" t="e">
        <f>#N/A</f>
        <v>#N/A</v>
      </c>
      <c r="BF108" t="e">
        <f>#N/A</f>
        <v>#N/A</v>
      </c>
      <c r="BG108" t="e">
        <f>#N/A</f>
        <v>#N/A</v>
      </c>
      <c r="BH108" t="e">
        <f>#N/A</f>
        <v>#N/A</v>
      </c>
      <c r="BI108" t="e">
        <f>#N/A</f>
        <v>#N/A</v>
      </c>
      <c r="BJ108" t="e">
        <f>#N/A</f>
        <v>#N/A</v>
      </c>
      <c r="BK108" t="e">
        <f>#N/A</f>
        <v>#N/A</v>
      </c>
      <c r="BL108" t="e">
        <f>#N/A</f>
        <v>#N/A</v>
      </c>
      <c r="BM108" t="e">
        <f>#N/A</f>
        <v>#N/A</v>
      </c>
      <c r="BN108" t="e">
        <f>#N/A</f>
        <v>#N/A</v>
      </c>
      <c r="BO108" t="e">
        <f>#N/A</f>
        <v>#N/A</v>
      </c>
      <c r="BP108" t="e">
        <f>#N/A</f>
        <v>#N/A</v>
      </c>
      <c r="BQ108" t="e">
        <f>#N/A</f>
        <v>#N/A</v>
      </c>
      <c r="BR108" t="e">
        <f>#N/A</f>
        <v>#N/A</v>
      </c>
      <c r="BS108" t="e">
        <f>#N/A</f>
        <v>#N/A</v>
      </c>
      <c r="BT108" t="e">
        <f>#N/A</f>
        <v>#N/A</v>
      </c>
    </row>
    <row r="109" spans="3:72" x14ac:dyDescent="0.2">
      <c r="BF109">
        <v>279</v>
      </c>
    </row>
    <row r="110" spans="3:72" x14ac:dyDescent="0.2">
      <c r="BF110">
        <v>243</v>
      </c>
      <c r="BG110">
        <v>246</v>
      </c>
    </row>
    <row r="111" spans="3:72" x14ac:dyDescent="0.2">
      <c r="BG111">
        <v>5775</v>
      </c>
    </row>
    <row r="112" spans="3:72" x14ac:dyDescent="0.2">
      <c r="AS112">
        <v>4882</v>
      </c>
      <c r="BE112" t="s">
        <v>46</v>
      </c>
      <c r="BF112">
        <v>5890</v>
      </c>
    </row>
    <row r="113" spans="3:72" x14ac:dyDescent="0.2">
      <c r="BI113">
        <v>5376</v>
      </c>
    </row>
    <row r="114" spans="3:72" x14ac:dyDescent="0.2">
      <c r="BI114">
        <v>5241</v>
      </c>
    </row>
    <row r="115" spans="3:72" x14ac:dyDescent="0.2">
      <c r="BJ115">
        <v>7360</v>
      </c>
    </row>
    <row r="116" spans="3:72" x14ac:dyDescent="0.2">
      <c r="AS116" t="s">
        <v>51</v>
      </c>
      <c r="AU116">
        <v>238</v>
      </c>
      <c r="AY116" t="s">
        <v>52</v>
      </c>
      <c r="BF116" t="s">
        <v>53</v>
      </c>
      <c r="BG116">
        <v>344</v>
      </c>
    </row>
    <row r="117" spans="3:72" x14ac:dyDescent="0.2">
      <c r="AY117">
        <v>251</v>
      </c>
      <c r="BF117">
        <v>340</v>
      </c>
    </row>
    <row r="118" spans="3:72" x14ac:dyDescent="0.2">
      <c r="C118" t="e">
        <f>#N/A</f>
        <v>#N/A</v>
      </c>
      <c r="D118" t="e">
        <f>#N/A</f>
        <v>#N/A</v>
      </c>
      <c r="E118" t="e">
        <f>#N/A</f>
        <v>#N/A</v>
      </c>
      <c r="F118" t="e">
        <f>#N/A</f>
        <v>#N/A</v>
      </c>
      <c r="G118" t="e">
        <f>#N/A</f>
        <v>#N/A</v>
      </c>
      <c r="H118" t="e">
        <f>#N/A</f>
        <v>#N/A</v>
      </c>
      <c r="I118" t="e">
        <f>#N/A</f>
        <v>#N/A</v>
      </c>
      <c r="J118" t="e">
        <f>#N/A</f>
        <v>#N/A</v>
      </c>
      <c r="K118" t="e">
        <f>#N/A</f>
        <v>#N/A</v>
      </c>
      <c r="L118" t="e">
        <f>#N/A</f>
        <v>#N/A</v>
      </c>
      <c r="M118" t="e">
        <f>#N/A</f>
        <v>#N/A</v>
      </c>
      <c r="N118" t="e">
        <f>#N/A</f>
        <v>#N/A</v>
      </c>
      <c r="O118" t="e">
        <f>#N/A</f>
        <v>#N/A</v>
      </c>
      <c r="P118" t="e">
        <f>#N/A</f>
        <v>#N/A</v>
      </c>
      <c r="Q118" t="e">
        <f>#N/A</f>
        <v>#N/A</v>
      </c>
      <c r="R118" t="e">
        <f>#N/A</f>
        <v>#N/A</v>
      </c>
      <c r="S118" t="e">
        <f>#N/A</f>
        <v>#N/A</v>
      </c>
      <c r="T118" t="e">
        <f>#N/A</f>
        <v>#N/A</v>
      </c>
      <c r="U118" t="e">
        <f>#N/A</f>
        <v>#N/A</v>
      </c>
      <c r="V118" t="e">
        <f>#N/A</f>
        <v>#N/A</v>
      </c>
      <c r="W118" t="e">
        <f>#N/A</f>
        <v>#N/A</v>
      </c>
      <c r="X118" t="e">
        <f>#N/A</f>
        <v>#N/A</v>
      </c>
      <c r="Y118" t="e">
        <f>#N/A</f>
        <v>#N/A</v>
      </c>
      <c r="Z118" t="e">
        <f>#N/A</f>
        <v>#N/A</v>
      </c>
      <c r="AA118" t="e">
        <f>#N/A</f>
        <v>#N/A</v>
      </c>
      <c r="AB118" t="e">
        <f>#N/A</f>
        <v>#N/A</v>
      </c>
      <c r="AC118" t="e">
        <f>#N/A</f>
        <v>#N/A</v>
      </c>
      <c r="AD118" t="e">
        <f>#N/A</f>
        <v>#N/A</v>
      </c>
      <c r="AE118" t="e">
        <f>#N/A</f>
        <v>#N/A</v>
      </c>
      <c r="AF118" t="e">
        <f>#N/A</f>
        <v>#N/A</v>
      </c>
      <c r="AG118" t="e">
        <f>#N/A</f>
        <v>#N/A</v>
      </c>
      <c r="AH118" t="e">
        <f>#N/A</f>
        <v>#N/A</v>
      </c>
      <c r="AI118" t="e">
        <f>#N/A</f>
        <v>#N/A</v>
      </c>
      <c r="AJ118" t="e">
        <f>#N/A</f>
        <v>#N/A</v>
      </c>
      <c r="AK118" t="e">
        <f>#N/A</f>
        <v>#N/A</v>
      </c>
      <c r="AL118" t="e">
        <f>#N/A</f>
        <v>#N/A</v>
      </c>
      <c r="AM118" t="e">
        <f>#N/A</f>
        <v>#N/A</v>
      </c>
      <c r="AN118" t="e">
        <f>#N/A</f>
        <v>#N/A</v>
      </c>
      <c r="AO118" t="e">
        <f>#N/A</f>
        <v>#N/A</v>
      </c>
      <c r="AP118" t="e">
        <f>#N/A</f>
        <v>#N/A</v>
      </c>
      <c r="AQ118" t="e">
        <f>#N/A</f>
        <v>#N/A</v>
      </c>
      <c r="AR118" t="e">
        <f>#N/A</f>
        <v>#N/A</v>
      </c>
      <c r="AS118" t="e">
        <f>#N/A</f>
        <v>#N/A</v>
      </c>
      <c r="AT118" t="e">
        <f>#N/A</f>
        <v>#N/A</v>
      </c>
      <c r="AU118" t="e">
        <f>#N/A</f>
        <v>#N/A</v>
      </c>
      <c r="AV118" t="e">
        <f>#N/A</f>
        <v>#N/A</v>
      </c>
      <c r="AW118" t="e">
        <f>#N/A</f>
        <v>#N/A</v>
      </c>
      <c r="AX118" t="e">
        <f>#N/A</f>
        <v>#N/A</v>
      </c>
      <c r="AY118" t="e">
        <f>#N/A</f>
        <v>#N/A</v>
      </c>
      <c r="AZ118" t="e">
        <f>#N/A</f>
        <v>#N/A</v>
      </c>
      <c r="BA118" t="e">
        <f>#N/A</f>
        <v>#N/A</v>
      </c>
      <c r="BB118" t="e">
        <f>#N/A</f>
        <v>#N/A</v>
      </c>
      <c r="BC118" t="e">
        <f>#N/A</f>
        <v>#N/A</v>
      </c>
      <c r="BD118" t="e">
        <f>#N/A</f>
        <v>#N/A</v>
      </c>
      <c r="BE118" t="e">
        <f>#N/A</f>
        <v>#N/A</v>
      </c>
      <c r="BF118" t="e">
        <f>#N/A</f>
        <v>#N/A</v>
      </c>
      <c r="BG118" t="e">
        <f>#N/A</f>
        <v>#N/A</v>
      </c>
      <c r="BH118" t="e">
        <f>#N/A</f>
        <v>#N/A</v>
      </c>
      <c r="BI118" t="e">
        <f>#N/A</f>
        <v>#N/A</v>
      </c>
      <c r="BJ118" t="e">
        <f>#N/A</f>
        <v>#N/A</v>
      </c>
      <c r="BK118" t="e">
        <f>#N/A</f>
        <v>#N/A</v>
      </c>
      <c r="BL118" t="e">
        <f>#N/A</f>
        <v>#N/A</v>
      </c>
      <c r="BM118" t="e">
        <f>#N/A</f>
        <v>#N/A</v>
      </c>
      <c r="BN118" t="e">
        <f>#N/A</f>
        <v>#N/A</v>
      </c>
      <c r="BO118" t="e">
        <f>#N/A</f>
        <v>#N/A</v>
      </c>
      <c r="BP118" t="e">
        <f>#N/A</f>
        <v>#N/A</v>
      </c>
      <c r="BQ118" t="e">
        <f>#N/A</f>
        <v>#N/A</v>
      </c>
      <c r="BR118" t="e">
        <f>#N/A</f>
        <v>#N/A</v>
      </c>
      <c r="BS118" t="e">
        <f>#N/A</f>
        <v>#N/A</v>
      </c>
      <c r="BT118" t="e">
        <f>#N/A</f>
        <v>#N/A</v>
      </c>
    </row>
    <row r="119" spans="3:72" x14ac:dyDescent="0.2">
      <c r="BJ119">
        <v>8500</v>
      </c>
    </row>
    <row r="120" spans="3:72" x14ac:dyDescent="0.2">
      <c r="BF120">
        <v>262</v>
      </c>
    </row>
    <row r="121" spans="3:72" x14ac:dyDescent="0.2">
      <c r="BO121">
        <v>720</v>
      </c>
    </row>
    <row r="122" spans="3:72" x14ac:dyDescent="0.2">
      <c r="AZ122" t="s">
        <v>59</v>
      </c>
      <c r="BA122" t="s">
        <v>59</v>
      </c>
      <c r="BB122">
        <v>369</v>
      </c>
      <c r="BC122">
        <v>374</v>
      </c>
      <c r="BG122">
        <v>393</v>
      </c>
    </row>
    <row r="123" spans="3:72" x14ac:dyDescent="0.2">
      <c r="AY123">
        <v>236</v>
      </c>
      <c r="BC123">
        <v>250</v>
      </c>
    </row>
    <row r="124" spans="3:72" x14ac:dyDescent="0.2">
      <c r="AY124">
        <v>244</v>
      </c>
    </row>
    <row r="125" spans="3:72" x14ac:dyDescent="0.2">
      <c r="BC125">
        <v>255</v>
      </c>
      <c r="BE125">
        <v>262</v>
      </c>
    </row>
    <row r="126" spans="3:72" x14ac:dyDescent="0.2">
      <c r="AZ126">
        <v>252</v>
      </c>
      <c r="BC126">
        <v>262</v>
      </c>
    </row>
    <row r="127" spans="3:72" x14ac:dyDescent="0.2">
      <c r="AZ127">
        <v>262</v>
      </c>
      <c r="BA127">
        <v>266</v>
      </c>
      <c r="BB127">
        <v>270</v>
      </c>
      <c r="BC127">
        <v>273</v>
      </c>
      <c r="BE127">
        <v>281</v>
      </c>
    </row>
    <row r="128" spans="3:72" x14ac:dyDescent="0.2">
      <c r="BF128">
        <v>5054</v>
      </c>
    </row>
    <row r="129" spans="3:72" x14ac:dyDescent="0.2">
      <c r="BH129">
        <v>8831</v>
      </c>
    </row>
    <row r="130" spans="3:72" x14ac:dyDescent="0.2">
      <c r="BE130">
        <v>5440</v>
      </c>
    </row>
    <row r="131" spans="3:72" x14ac:dyDescent="0.2">
      <c r="C131" t="e">
        <f>#N/A</f>
        <v>#N/A</v>
      </c>
      <c r="D131" t="e">
        <f>#N/A</f>
        <v>#N/A</v>
      </c>
      <c r="E131" t="e">
        <f>#N/A</f>
        <v>#N/A</v>
      </c>
      <c r="F131" t="e">
        <f>#N/A</f>
        <v>#N/A</v>
      </c>
      <c r="G131" t="e">
        <f>#N/A</f>
        <v>#N/A</v>
      </c>
      <c r="H131" t="e">
        <f>#N/A</f>
        <v>#N/A</v>
      </c>
      <c r="I131" t="e">
        <f>#N/A</f>
        <v>#N/A</v>
      </c>
      <c r="J131" t="e">
        <f>#N/A</f>
        <v>#N/A</v>
      </c>
      <c r="K131" t="e">
        <f>#N/A</f>
        <v>#N/A</v>
      </c>
      <c r="L131" t="e">
        <f>#N/A</f>
        <v>#N/A</v>
      </c>
      <c r="M131" t="e">
        <f>#N/A</f>
        <v>#N/A</v>
      </c>
      <c r="N131" t="e">
        <f>#N/A</f>
        <v>#N/A</v>
      </c>
      <c r="O131" t="e">
        <f>#N/A</f>
        <v>#N/A</v>
      </c>
      <c r="P131" t="e">
        <f>#N/A</f>
        <v>#N/A</v>
      </c>
      <c r="Q131" t="e">
        <f>#N/A</f>
        <v>#N/A</v>
      </c>
      <c r="R131" t="e">
        <f>#N/A</f>
        <v>#N/A</v>
      </c>
      <c r="S131" t="e">
        <f>#N/A</f>
        <v>#N/A</v>
      </c>
      <c r="T131" t="e">
        <f>#N/A</f>
        <v>#N/A</v>
      </c>
      <c r="U131" t="e">
        <f>#N/A</f>
        <v>#N/A</v>
      </c>
      <c r="V131" t="e">
        <f>#N/A</f>
        <v>#N/A</v>
      </c>
      <c r="W131" t="e">
        <f>#N/A</f>
        <v>#N/A</v>
      </c>
      <c r="X131" t="e">
        <f>#N/A</f>
        <v>#N/A</v>
      </c>
      <c r="Y131" t="e">
        <f>#N/A</f>
        <v>#N/A</v>
      </c>
      <c r="Z131" t="e">
        <f>#N/A</f>
        <v>#N/A</v>
      </c>
      <c r="AA131" t="e">
        <f>#N/A</f>
        <v>#N/A</v>
      </c>
      <c r="AB131" t="e">
        <f>#N/A</f>
        <v>#N/A</v>
      </c>
      <c r="AC131" t="e">
        <f>#N/A</f>
        <v>#N/A</v>
      </c>
      <c r="AD131" t="e">
        <f>#N/A</f>
        <v>#N/A</v>
      </c>
      <c r="AE131" t="e">
        <f>#N/A</f>
        <v>#N/A</v>
      </c>
      <c r="AF131" t="e">
        <f>#N/A</f>
        <v>#N/A</v>
      </c>
      <c r="AG131" t="e">
        <f>#N/A</f>
        <v>#N/A</v>
      </c>
      <c r="AH131" t="e">
        <f>#N/A</f>
        <v>#N/A</v>
      </c>
      <c r="AI131" t="e">
        <f>#N/A</f>
        <v>#N/A</v>
      </c>
      <c r="AJ131" t="e">
        <f>#N/A</f>
        <v>#N/A</v>
      </c>
      <c r="AK131" t="e">
        <f>#N/A</f>
        <v>#N/A</v>
      </c>
      <c r="AL131" t="e">
        <f>#N/A</f>
        <v>#N/A</v>
      </c>
      <c r="AM131" t="e">
        <f>#N/A</f>
        <v>#N/A</v>
      </c>
      <c r="AN131" t="e">
        <f>#N/A</f>
        <v>#N/A</v>
      </c>
      <c r="AO131" t="e">
        <f>#N/A</f>
        <v>#N/A</v>
      </c>
      <c r="AP131" t="e">
        <f>#N/A</f>
        <v>#N/A</v>
      </c>
      <c r="AQ131" t="e">
        <f>#N/A</f>
        <v>#N/A</v>
      </c>
      <c r="AR131" t="e">
        <f>#N/A</f>
        <v>#N/A</v>
      </c>
      <c r="AS131" t="e">
        <f>#N/A</f>
        <v>#N/A</v>
      </c>
      <c r="AT131" t="e">
        <f>#N/A</f>
        <v>#N/A</v>
      </c>
      <c r="AU131" t="e">
        <f>#N/A</f>
        <v>#N/A</v>
      </c>
      <c r="AV131" t="e">
        <f>#N/A</f>
        <v>#N/A</v>
      </c>
      <c r="AW131" t="e">
        <f>#N/A</f>
        <v>#N/A</v>
      </c>
      <c r="AX131" t="e">
        <f>#N/A</f>
        <v>#N/A</v>
      </c>
      <c r="AY131" t="e">
        <f>#N/A</f>
        <v>#N/A</v>
      </c>
      <c r="AZ131" t="e">
        <f>#N/A</f>
        <v>#N/A</v>
      </c>
      <c r="BA131" t="e">
        <f>#N/A</f>
        <v>#N/A</v>
      </c>
      <c r="BB131" t="e">
        <f>#N/A</f>
        <v>#N/A</v>
      </c>
      <c r="BC131" t="e">
        <f>#N/A</f>
        <v>#N/A</v>
      </c>
      <c r="BD131" t="e">
        <f>#N/A</f>
        <v>#N/A</v>
      </c>
      <c r="BE131" t="e">
        <f>#N/A</f>
        <v>#N/A</v>
      </c>
      <c r="BF131" t="e">
        <f>#N/A</f>
        <v>#N/A</v>
      </c>
      <c r="BG131" t="e">
        <f>#N/A</f>
        <v>#N/A</v>
      </c>
      <c r="BH131" t="e">
        <f>#N/A</f>
        <v>#N/A</v>
      </c>
      <c r="BI131" t="e">
        <f>#N/A</f>
        <v>#N/A</v>
      </c>
      <c r="BJ131" t="e">
        <f>#N/A</f>
        <v>#N/A</v>
      </c>
      <c r="BK131" t="e">
        <f>#N/A</f>
        <v>#N/A</v>
      </c>
      <c r="BL131" t="e">
        <f>#N/A</f>
        <v>#N/A</v>
      </c>
      <c r="BM131" t="e">
        <f>#N/A</f>
        <v>#N/A</v>
      </c>
      <c r="BN131" t="e">
        <f>#N/A</f>
        <v>#N/A</v>
      </c>
      <c r="BO131" t="e">
        <f>#N/A</f>
        <v>#N/A</v>
      </c>
      <c r="BP131" t="e">
        <f>#N/A</f>
        <v>#N/A</v>
      </c>
      <c r="BQ131" t="e">
        <f>#N/A</f>
        <v>#N/A</v>
      </c>
      <c r="BR131" t="e">
        <f>#N/A</f>
        <v>#N/A</v>
      </c>
      <c r="BS131" t="e">
        <f>#N/A</f>
        <v>#N/A</v>
      </c>
      <c r="BT131" t="e">
        <f>#N/A</f>
        <v>#N/A</v>
      </c>
    </row>
    <row r="132" spans="3:72" x14ac:dyDescent="0.2">
      <c r="BB132">
        <v>3914</v>
      </c>
    </row>
    <row r="133" spans="3:72" x14ac:dyDescent="0.2">
      <c r="BJ133">
        <v>6080</v>
      </c>
    </row>
    <row r="134" spans="3:72" x14ac:dyDescent="0.2">
      <c r="AN134">
        <v>141</v>
      </c>
    </row>
    <row r="135" spans="3:72" x14ac:dyDescent="0.2">
      <c r="E135">
        <v>3</v>
      </c>
    </row>
    <row r="136" spans="3:72" x14ac:dyDescent="0.2">
      <c r="G136">
        <v>41</v>
      </c>
    </row>
    <row r="137" spans="3:72" x14ac:dyDescent="0.2">
      <c r="L137">
        <v>4</v>
      </c>
    </row>
    <row r="138" spans="3:72" x14ac:dyDescent="0.2">
      <c r="K138">
        <v>29</v>
      </c>
      <c r="L138">
        <v>30</v>
      </c>
      <c r="O138">
        <v>33</v>
      </c>
    </row>
    <row r="139" spans="3:72" x14ac:dyDescent="0.2">
      <c r="D139">
        <v>6</v>
      </c>
    </row>
    <row r="140" spans="3:72" x14ac:dyDescent="0.2">
      <c r="AE140">
        <v>86</v>
      </c>
      <c r="AF140">
        <v>88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 alignWithMargins="0">
    <oddHeader>&amp;C&amp;A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0649B-78B4-4F69-AC2B-90224B0F9871}">
  <dimension ref="A1:E11"/>
  <sheetViews>
    <sheetView workbookViewId="0">
      <selection activeCell="D8" sqref="D8"/>
    </sheetView>
  </sheetViews>
  <sheetFormatPr defaultColWidth="11.5" defaultRowHeight="12.9" x14ac:dyDescent="0.2"/>
  <cols>
    <col min="1" max="1" width="15.875" customWidth="1"/>
    <col min="2" max="2" width="33.5" customWidth="1"/>
    <col min="3" max="3" width="20.625" customWidth="1"/>
    <col min="4" max="4" width="23.25" customWidth="1"/>
    <col min="5" max="5" width="26.375" customWidth="1"/>
  </cols>
  <sheetData>
    <row r="1" spans="1:5" ht="14.95" x14ac:dyDescent="0.3">
      <c r="A1" s="22" t="s">
        <v>190</v>
      </c>
      <c r="B1" s="22"/>
      <c r="C1" s="22"/>
      <c r="D1" s="22"/>
      <c r="E1" s="22"/>
    </row>
    <row r="2" spans="1:5" x14ac:dyDescent="0.2">
      <c r="A2" t="s">
        <v>191</v>
      </c>
      <c r="B2" t="s">
        <v>192</v>
      </c>
      <c r="C2" t="s">
        <v>193</v>
      </c>
      <c r="D2" t="s">
        <v>194</v>
      </c>
      <c r="E2" t="s">
        <v>195</v>
      </c>
    </row>
    <row r="3" spans="1:5" ht="14.95" x14ac:dyDescent="0.3">
      <c r="A3" s="17" t="s">
        <v>196</v>
      </c>
      <c r="B3" t="s">
        <v>197</v>
      </c>
      <c r="C3" s="18" t="s">
        <v>198</v>
      </c>
      <c r="D3" s="18" t="s">
        <v>199</v>
      </c>
      <c r="E3" s="19" t="s">
        <v>200</v>
      </c>
    </row>
    <row r="4" spans="1:5" ht="27.2" x14ac:dyDescent="0.3">
      <c r="A4" s="20" t="s">
        <v>201</v>
      </c>
      <c r="B4" t="s">
        <v>202</v>
      </c>
      <c r="C4" s="19" t="s">
        <v>203</v>
      </c>
      <c r="D4" s="19" t="s">
        <v>204</v>
      </c>
      <c r="E4" s="19" t="s">
        <v>205</v>
      </c>
    </row>
    <row r="5" spans="1:5" ht="14.95" x14ac:dyDescent="0.3">
      <c r="A5" s="17" t="s">
        <v>206</v>
      </c>
      <c r="B5" t="s">
        <v>207</v>
      </c>
      <c r="C5" s="19" t="s">
        <v>208</v>
      </c>
      <c r="D5" s="19" t="s">
        <v>209</v>
      </c>
      <c r="E5" s="19" t="s">
        <v>210</v>
      </c>
    </row>
    <row r="6" spans="1:5" ht="29.9" x14ac:dyDescent="0.3">
      <c r="A6" s="17" t="s">
        <v>211</v>
      </c>
      <c r="B6" t="s">
        <v>212</v>
      </c>
      <c r="C6" s="19" t="s">
        <v>213</v>
      </c>
      <c r="D6" s="19" t="s">
        <v>214</v>
      </c>
      <c r="E6" s="19" t="s">
        <v>215</v>
      </c>
    </row>
    <row r="7" spans="1:5" ht="27.2" x14ac:dyDescent="0.3">
      <c r="A7" s="17" t="s">
        <v>216</v>
      </c>
      <c r="B7" t="s">
        <v>217</v>
      </c>
      <c r="C7" s="19" t="s">
        <v>218</v>
      </c>
      <c r="D7" s="19" t="s">
        <v>219</v>
      </c>
      <c r="E7" s="19" t="s">
        <v>220</v>
      </c>
    </row>
    <row r="8" spans="1:5" ht="14.95" x14ac:dyDescent="0.3">
      <c r="A8" s="17" t="s">
        <v>221</v>
      </c>
      <c r="B8" t="s">
        <v>222</v>
      </c>
      <c r="C8" s="18" t="s">
        <v>223</v>
      </c>
      <c r="D8" s="18" t="s">
        <v>224</v>
      </c>
      <c r="E8" s="18" t="s">
        <v>225</v>
      </c>
    </row>
    <row r="9" spans="1:5" ht="14.95" x14ac:dyDescent="0.3">
      <c r="A9" s="17" t="s">
        <v>226</v>
      </c>
      <c r="B9" t="s">
        <v>227</v>
      </c>
      <c r="C9" s="19" t="s">
        <v>228</v>
      </c>
      <c r="D9" s="18" t="s">
        <v>229</v>
      </c>
      <c r="E9" s="18" t="s">
        <v>230</v>
      </c>
    </row>
    <row r="10" spans="1:5" ht="14.95" x14ac:dyDescent="0.3">
      <c r="A10" s="17" t="s">
        <v>231</v>
      </c>
      <c r="B10" t="s">
        <v>232</v>
      </c>
      <c r="C10" s="18" t="s">
        <v>233</v>
      </c>
      <c r="D10" s="18" t="s">
        <v>234</v>
      </c>
      <c r="E10" s="18" t="s">
        <v>235</v>
      </c>
    </row>
    <row r="11" spans="1:5" ht="14.95" x14ac:dyDescent="0.3">
      <c r="A11" s="17" t="s">
        <v>236</v>
      </c>
      <c r="B11" t="s">
        <v>237</v>
      </c>
      <c r="C11" s="19" t="s">
        <v>238</v>
      </c>
      <c r="D11" s="18" t="s">
        <v>239</v>
      </c>
      <c r="E11" s="18" t="s">
        <v>240</v>
      </c>
    </row>
  </sheetData>
  <sheetProtection selectLockedCells="1" selectUnlockedCells="1"/>
  <mergeCells count="1">
    <mergeCell ref="A1:E1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 alignWithMargins="0">
    <oddHeader>&amp;C&amp;A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54AB-32CD-4067-B2BA-CB56C6D3CDCA}">
  <dimension ref="A1:E14"/>
  <sheetViews>
    <sheetView workbookViewId="0">
      <selection activeCell="B15" sqref="B15"/>
    </sheetView>
  </sheetViews>
  <sheetFormatPr defaultColWidth="11.5" defaultRowHeight="12.9" x14ac:dyDescent="0.2"/>
  <cols>
    <col min="1" max="1" width="15.875" customWidth="1"/>
    <col min="2" max="2" width="30.375" customWidth="1"/>
    <col min="3" max="3" width="27.75" customWidth="1"/>
    <col min="4" max="4" width="24.5" customWidth="1"/>
    <col min="5" max="5" width="26" customWidth="1"/>
  </cols>
  <sheetData>
    <row r="1" spans="1:5" ht="14.95" x14ac:dyDescent="0.3">
      <c r="A1" s="22" t="s">
        <v>241</v>
      </c>
      <c r="B1" s="22"/>
      <c r="C1" s="22"/>
      <c r="D1" s="22"/>
      <c r="E1" s="22"/>
    </row>
    <row r="2" spans="1:5" x14ac:dyDescent="0.2">
      <c r="A2" t="s">
        <v>191</v>
      </c>
      <c r="B2" t="s">
        <v>192</v>
      </c>
      <c r="C2" t="s">
        <v>193</v>
      </c>
      <c r="D2" t="s">
        <v>194</v>
      </c>
      <c r="E2" t="s">
        <v>195</v>
      </c>
    </row>
    <row r="3" spans="1:5" ht="14.95" x14ac:dyDescent="0.3">
      <c r="A3" s="17" t="s">
        <v>196</v>
      </c>
      <c r="B3" t="s">
        <v>197</v>
      </c>
      <c r="C3" s="18" t="s">
        <v>242</v>
      </c>
      <c r="D3" s="18" t="s">
        <v>243</v>
      </c>
      <c r="E3" s="19" t="s">
        <v>244</v>
      </c>
    </row>
    <row r="4" spans="1:5" ht="14.95" x14ac:dyDescent="0.3">
      <c r="A4" s="20" t="s">
        <v>201</v>
      </c>
      <c r="B4" t="s">
        <v>202</v>
      </c>
      <c r="C4" s="19" t="s">
        <v>245</v>
      </c>
      <c r="D4" s="19" t="s">
        <v>246</v>
      </c>
      <c r="E4" s="19" t="s">
        <v>247</v>
      </c>
    </row>
    <row r="5" spans="1:5" ht="14.95" x14ac:dyDescent="0.3">
      <c r="A5" s="17" t="s">
        <v>206</v>
      </c>
      <c r="B5" t="s">
        <v>207</v>
      </c>
      <c r="C5" s="19" t="s">
        <v>224</v>
      </c>
      <c r="D5" s="19" t="s">
        <v>225</v>
      </c>
      <c r="E5" s="19" t="s">
        <v>248</v>
      </c>
    </row>
    <row r="6" spans="1:5" ht="14.95" x14ac:dyDescent="0.3">
      <c r="A6" s="17" t="s">
        <v>216</v>
      </c>
      <c r="B6" t="s">
        <v>217</v>
      </c>
      <c r="C6" s="19" t="s">
        <v>249</v>
      </c>
      <c r="D6" s="19" t="s">
        <v>210</v>
      </c>
      <c r="E6" s="19" t="s">
        <v>250</v>
      </c>
    </row>
    <row r="7" spans="1:5" ht="14.95" x14ac:dyDescent="0.3">
      <c r="A7" s="21" t="s">
        <v>251</v>
      </c>
      <c r="B7" t="s">
        <v>252</v>
      </c>
      <c r="C7" t="s">
        <v>253</v>
      </c>
      <c r="D7" t="s">
        <v>254</v>
      </c>
      <c r="E7" t="s">
        <v>255</v>
      </c>
    </row>
    <row r="8" spans="1:5" ht="14.95" x14ac:dyDescent="0.3">
      <c r="A8" s="21" t="s">
        <v>231</v>
      </c>
      <c r="B8" t="s">
        <v>232</v>
      </c>
      <c r="C8" t="s">
        <v>234</v>
      </c>
      <c r="D8" t="s">
        <v>256</v>
      </c>
      <c r="E8" t="s">
        <v>235</v>
      </c>
    </row>
    <row r="9" spans="1:5" ht="14.95" x14ac:dyDescent="0.3">
      <c r="A9" s="21" t="s">
        <v>226</v>
      </c>
      <c r="B9" t="s">
        <v>227</v>
      </c>
      <c r="C9" t="s">
        <v>203</v>
      </c>
      <c r="D9" t="s">
        <v>257</v>
      </c>
      <c r="E9" t="s">
        <v>258</v>
      </c>
    </row>
    <row r="10" spans="1:5" ht="14.95" x14ac:dyDescent="0.3">
      <c r="A10" s="20" t="s">
        <v>221</v>
      </c>
      <c r="B10" t="s">
        <v>222</v>
      </c>
      <c r="C10" t="s">
        <v>259</v>
      </c>
      <c r="D10" t="s">
        <v>260</v>
      </c>
      <c r="E10" t="s">
        <v>261</v>
      </c>
    </row>
    <row r="11" spans="1:5" ht="14.95" x14ac:dyDescent="0.3">
      <c r="A11" s="20" t="s">
        <v>236</v>
      </c>
      <c r="B11" t="s">
        <v>262</v>
      </c>
      <c r="C11" t="s">
        <v>229</v>
      </c>
      <c r="D11" t="s">
        <v>230</v>
      </c>
      <c r="E11" t="s">
        <v>263</v>
      </c>
    </row>
    <row r="12" spans="1:5" ht="14.95" x14ac:dyDescent="0.3">
      <c r="A12" s="21" t="s">
        <v>264</v>
      </c>
      <c r="B12" t="s">
        <v>265</v>
      </c>
      <c r="C12" t="s">
        <v>214</v>
      </c>
      <c r="D12" t="s">
        <v>215</v>
      </c>
      <c r="E12" t="s">
        <v>266</v>
      </c>
    </row>
    <row r="13" spans="1:5" ht="14.95" x14ac:dyDescent="0.3">
      <c r="A13" s="21" t="s">
        <v>267</v>
      </c>
      <c r="B13" t="s">
        <v>268</v>
      </c>
      <c r="C13" t="s">
        <v>219</v>
      </c>
      <c r="D13" t="s">
        <v>220</v>
      </c>
      <c r="E13" t="s">
        <v>239</v>
      </c>
    </row>
    <row r="14" spans="1:5" ht="14.95" x14ac:dyDescent="0.3">
      <c r="A14" s="21" t="s">
        <v>269</v>
      </c>
      <c r="B14" t="s">
        <v>270</v>
      </c>
      <c r="C14" t="s">
        <v>198</v>
      </c>
      <c r="D14" t="s">
        <v>271</v>
      </c>
      <c r="E14" t="s">
        <v>272</v>
      </c>
    </row>
  </sheetData>
  <sheetProtection selectLockedCells="1" selectUnlockedCells="1"/>
  <mergeCells count="1">
    <mergeCell ref="A1:E1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 alignWithMargins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Saurians</vt:lpstr>
      <vt:lpstr>Bosses</vt:lpstr>
      <vt:lpstr>Fliers</vt:lpstr>
      <vt:lpstr>Humans</vt:lpstr>
      <vt:lpstr>Skeletons</vt:lpstr>
      <vt:lpstr>Undead</vt:lpstr>
      <vt:lpstr>Goblins</vt:lpstr>
      <vt:lpstr>Apes</vt:lpstr>
      <vt:lpstr>Orcs</vt:lpstr>
      <vt:lpstr>Alchemonsters</vt:lpstr>
      <vt:lpstr>Season 2</vt:lpstr>
      <vt:lpstr>9 Calamities</vt:lpstr>
      <vt:lpstr>12 Calamities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Samet Koyuncu</cp:lastModifiedBy>
  <dcterms:created xsi:type="dcterms:W3CDTF">2026-04-05T19:02:21Z</dcterms:created>
  <dcterms:modified xsi:type="dcterms:W3CDTF">2026-04-05T19:02:21Z</dcterms:modified>
</cp:coreProperties>
</file>